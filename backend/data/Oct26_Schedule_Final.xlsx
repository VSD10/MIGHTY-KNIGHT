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Students Level Master" sheetId="1" state="visible" r:id="rId1"/>
    <sheet xmlns:r="http://schemas.openxmlformats.org/officeDocument/2006/relationships" name="Oct26 Schedule corrections" sheetId="2" state="visible" r:id="rId2"/>
    <sheet xmlns:r="http://schemas.openxmlformats.org/officeDocument/2006/relationships" name="Change Log" sheetId="3" state="visible" r:id="rId3"/>
    <sheet xmlns:r="http://schemas.openxmlformats.org/officeDocument/2006/relationships" name="Attention Required" sheetId="4" state="visible" r:id="rId4"/>
  </sheets>
  <externalReferences>
    <externalReference xmlns:r="http://schemas.openxmlformats.org/officeDocument/2006/relationships" r:id="rId5"/>
  </externalReferences>
  <definedNames>
    <definedName name="_xlnm._FilterDatabase" localSheetId="0" hidden="1">'Students Level Master'!$A$1:$S$26</definedName>
    <definedName name="_xlnm._FilterDatabase" localSheetId="1" hidden="1">'Oct26 Schedule corrections'!$A$1:$BZ$125</definedName>
    <definedName name="_xlnm._FilterDatabase" localSheetId="2" hidden="1">'Change Log'!$A$1:$G$50</definedName>
    <definedName name="_xlnm._FilterDatabase" localSheetId="3" hidden="1">'Attention Required'!$A$1:$D$14</definedName>
  </definedNames>
  <calcPr calcId="191029" fullCalcOnLoad="1"/>
</workbook>
</file>

<file path=xl/styles.xml><?xml version="1.0" encoding="utf-8"?>
<styleSheet xmlns="http://schemas.openxmlformats.org/spreadsheetml/2006/main">
  <numFmts count="0"/>
  <fonts count="12">
    <font>
      <name val="Arial"/>
      <color rgb="FF000000"/>
      <sz val="10"/>
      <scheme val="minor"/>
    </font>
    <font>
      <name val="Arial"/>
      <family val="2"/>
      <color rgb="FF000000"/>
      <sz val="10"/>
      <scheme val="minor"/>
    </font>
    <font>
      <name val="Arial"/>
      <family val="2"/>
      <b val="1"/>
      <color rgb="FF000000"/>
      <sz val="10"/>
      <scheme val="minor"/>
    </font>
    <font>
      <name val="Arial"/>
      <family val="2"/>
      <sz val="10"/>
    </font>
    <font>
      <name val="Calibri"/>
      <charset val="1"/>
      <family val="2"/>
      <color theme="1"/>
      <sz val="11"/>
    </font>
    <font>
      <name val="Arial"/>
      <family val="2"/>
      <i val="1"/>
      <sz val="10"/>
    </font>
    <font>
      <name val="Arial"/>
      <family val="2"/>
      <b val="1"/>
      <sz val="10"/>
    </font>
    <font>
      <name val="Arial"/>
      <family val="2"/>
      <b val="1"/>
      <color rgb="FFFFFFFF"/>
      <sz val="10"/>
    </font>
    <font>
      <name val="Arial"/>
      <family val="2"/>
      <b val="1"/>
      <color rgb="FF000000"/>
      <sz val="24"/>
      <scheme val="minor"/>
    </font>
    <font>
      <name val="Arial"/>
      <family val="2"/>
      <b val="1"/>
      <color rgb="FF000000"/>
      <sz val="10"/>
      <scheme val="minor"/>
    </font>
    <font>
      <name val="Arial"/>
      <family val="2"/>
      <b val="1"/>
      <color rgb="FFFFFFFF"/>
      <sz val="10"/>
    </font>
    <font>
      <name val="Arial"/>
      <family val="2"/>
      <sz val="10"/>
    </font>
  </fonts>
  <fills count="24">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rgb="FFFFF2CC"/>
        <bgColor rgb="FFFCE4D6"/>
      </patternFill>
    </fill>
    <fill>
      <patternFill patternType="solid">
        <fgColor rgb="FF1F3864"/>
        <bgColor rgb="FF333333"/>
      </patternFill>
    </fill>
    <fill>
      <patternFill patternType="solid">
        <fgColor rgb="FFC55A11"/>
        <bgColor rgb="FF993300"/>
      </patternFill>
    </fill>
    <fill>
      <patternFill patternType="solid">
        <fgColor rgb="FFFCE4D6"/>
        <bgColor rgb="FFFFF2CC"/>
      </patternFill>
    </fill>
    <fill>
      <patternFill patternType="solid">
        <fgColor rgb="FFFFFF00"/>
        <bgColor rgb="FFFCE4D6"/>
      </patternFill>
    </fill>
    <fill>
      <patternFill patternType="solid">
        <fgColor rgb="FFDDEBF7"/>
        <bgColor rgb="FFF2F2F2"/>
      </patternFill>
    </fill>
    <fill>
      <patternFill patternType="solid">
        <fgColor rgb="FFF8CBAD"/>
        <bgColor rgb="FFFCE4D6"/>
      </patternFill>
    </fill>
    <fill>
      <patternFill patternType="solid">
        <fgColor rgb="FFF2F2F2"/>
        <bgColor rgb="FFDDEBF7"/>
      </patternFill>
    </fill>
    <fill>
      <patternFill patternType="solid">
        <fgColor theme="0"/>
        <bgColor indexed="64"/>
      </patternFill>
    </fill>
    <fill>
      <patternFill patternType="solid">
        <fgColor rgb="FFFCE4D6"/>
      </patternFill>
    </fill>
    <fill>
      <patternFill patternType="solid">
        <fgColor rgb="FFC6EFCE"/>
      </patternFill>
    </fill>
    <fill>
      <patternFill patternType="solid">
        <fgColor rgb="FF1F3864"/>
      </patternFill>
    </fill>
    <fill>
      <patternFill patternType="solid">
        <fgColor rgb="FF00B050"/>
        <bgColor rgb="FFF2F2F2"/>
      </patternFill>
    </fill>
    <fill>
      <patternFill patternType="solid">
        <fgColor rgb="FF00B050"/>
        <bgColor rgb="FFFFF2CC"/>
      </patternFill>
    </fill>
    <fill>
      <patternFill patternType="solid">
        <fgColor rgb="FF00B050"/>
        <bgColor rgb="FFFCE4D6"/>
      </patternFill>
    </fill>
    <fill>
      <patternFill patternType="solid">
        <fgColor rgb="FF92D050"/>
        <bgColor indexed="64"/>
      </patternFill>
    </fill>
    <fill>
      <patternFill patternType="solid">
        <fgColor rgb="FF00B050"/>
        <bgColor indexed="64"/>
      </patternFill>
    </fill>
    <fill>
      <patternFill patternType="solid">
        <fgColor rgb="FF00B050"/>
      </patternFill>
    </fill>
    <fill>
      <patternFill patternType="solid">
        <fgColor rgb="00C6EFCE"/>
      </patternFill>
    </fill>
    <fill>
      <patternFill patternType="solid">
        <fgColor rgb="00FFFF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s>
  <cellStyleXfs count="2">
    <xf numFmtId="0" fontId="0" fillId="0" borderId="0"/>
    <xf numFmtId="0" fontId="4" fillId="0" borderId="0"/>
  </cellStyleXfs>
  <cellXfs count="93">
    <xf numFmtId="0" fontId="0" fillId="0" borderId="0" pivotButton="0" quotePrefix="0" xfId="0"/>
    <xf numFmtId="0" fontId="0" fillId="0" borderId="0" applyAlignment="1" pivotButton="0" quotePrefix="0" xfId="0">
      <alignment horizontal="center" vertical="center"/>
    </xf>
    <xf numFmtId="0" fontId="4" fillId="0" borderId="0" pivotButton="0" quotePrefix="0" xfId="1"/>
    <xf numFmtId="0" fontId="11" fillId="0" borderId="3"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horizontal="center" vertical="top" wrapText="1"/>
    </xf>
    <xf numFmtId="0" fontId="1" fillId="0" borderId="1"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8" fillId="0" borderId="0" applyAlignment="1" pivotButton="0" quotePrefix="0" xfId="0">
      <alignment vertical="top" wrapText="1"/>
    </xf>
    <xf numFmtId="0" fontId="0" fillId="12" borderId="0" applyAlignment="1" pivotButton="0" quotePrefix="0" xfId="0">
      <alignment vertical="top" wrapText="1"/>
    </xf>
    <xf numFmtId="0" fontId="9" fillId="0" borderId="0" applyAlignment="1" pivotButton="0" quotePrefix="0" xfId="0">
      <alignment horizontal="center" vertical="top" wrapText="1"/>
    </xf>
    <xf numFmtId="0" fontId="5" fillId="4" borderId="0" applyAlignment="1" pivotButton="0" quotePrefix="0" xfId="1">
      <alignment horizontal="left" vertical="top" wrapText="1"/>
    </xf>
    <xf numFmtId="0" fontId="6" fillId="0" borderId="0" applyAlignment="1" pivotButton="0" quotePrefix="0" xfId="1">
      <alignment horizontal="left" vertical="top" wrapText="1"/>
    </xf>
    <xf numFmtId="0" fontId="7" fillId="5" borderId="2" applyAlignment="1" pivotButton="0" quotePrefix="0" xfId="1">
      <alignment horizontal="center" vertical="top" wrapText="1"/>
    </xf>
    <xf numFmtId="0" fontId="7" fillId="6" borderId="2" applyAlignment="1" pivotButton="0" quotePrefix="0" xfId="1">
      <alignment horizontal="center" vertical="top" wrapText="1"/>
    </xf>
    <xf numFmtId="0" fontId="3" fillId="0" borderId="2" applyAlignment="1" pivotButton="0" quotePrefix="0" xfId="1">
      <alignment horizontal="left" vertical="top" wrapText="1"/>
    </xf>
    <xf numFmtId="0" fontId="3" fillId="0" borderId="2" applyAlignment="1" pivotButton="0" quotePrefix="0" xfId="1">
      <alignment horizontal="center" vertical="top" wrapText="1"/>
    </xf>
    <xf numFmtId="18" fontId="3" fillId="0" borderId="2" applyAlignment="1" pivotButton="0" quotePrefix="0" xfId="1">
      <alignment horizontal="center" vertical="top" wrapText="1"/>
    </xf>
    <xf numFmtId="0" fontId="3" fillId="7" borderId="2" applyAlignment="1" pivotButton="0" quotePrefix="0" xfId="1">
      <alignment horizontal="center" vertical="top" wrapText="1"/>
    </xf>
    <xf numFmtId="18" fontId="3" fillId="9" borderId="2" applyAlignment="1" pivotButton="0" quotePrefix="0" xfId="1">
      <alignment horizontal="center" vertical="top" wrapText="1"/>
    </xf>
    <xf numFmtId="0" fontId="3" fillId="9" borderId="2" applyAlignment="1" pivotButton="0" quotePrefix="0" xfId="1">
      <alignment horizontal="center" vertical="top" wrapText="1"/>
    </xf>
    <xf numFmtId="18" fontId="3" fillId="14" borderId="2" applyAlignment="1" pivotButton="0" quotePrefix="0" xfId="1">
      <alignment horizontal="center" vertical="top" wrapText="1"/>
    </xf>
    <xf numFmtId="0" fontId="3" fillId="14" borderId="2" applyAlignment="1" pivotButton="0" quotePrefix="0" xfId="1">
      <alignment horizontal="center" vertical="top" wrapText="1"/>
    </xf>
    <xf numFmtId="18" fontId="3" fillId="10" borderId="2" applyAlignment="1" pivotButton="0" quotePrefix="0" xfId="1">
      <alignment horizontal="center" vertical="top" wrapText="1"/>
    </xf>
    <xf numFmtId="0" fontId="3" fillId="10" borderId="2" applyAlignment="1" pivotButton="0" quotePrefix="0" xfId="1">
      <alignment horizontal="center" vertical="top" wrapText="1"/>
    </xf>
    <xf numFmtId="18" fontId="3" fillId="13" borderId="2" applyAlignment="1" pivotButton="0" quotePrefix="0" xfId="1">
      <alignment horizontal="center" vertical="top" wrapText="1"/>
    </xf>
    <xf numFmtId="0" fontId="3" fillId="13" borderId="2" applyAlignment="1" pivotButton="0" quotePrefix="0" xfId="1">
      <alignment horizontal="center" vertical="top" wrapText="1"/>
    </xf>
    <xf numFmtId="0" fontId="3" fillId="2" borderId="2" applyAlignment="1" pivotButton="0" quotePrefix="0" xfId="1">
      <alignment horizontal="left" vertical="top" wrapText="1"/>
    </xf>
    <xf numFmtId="0" fontId="3" fillId="14" borderId="2" applyAlignment="1" pivotButton="0" quotePrefix="0" xfId="1">
      <alignment horizontal="left" vertical="top" wrapText="1"/>
    </xf>
    <xf numFmtId="18" fontId="3" fillId="8" borderId="2" applyAlignment="1" pivotButton="0" quotePrefix="0" xfId="1">
      <alignment horizontal="center" vertical="top" wrapText="1"/>
    </xf>
    <xf numFmtId="0" fontId="3" fillId="8" borderId="2" applyAlignment="1" pivotButton="0" quotePrefix="0" xfId="1">
      <alignment horizontal="center" vertical="top" wrapText="1"/>
    </xf>
    <xf numFmtId="18" fontId="3" fillId="7" borderId="2" applyAlignment="1" pivotButton="0" quotePrefix="0" xfId="1">
      <alignment horizontal="center" vertical="top" wrapText="1"/>
    </xf>
    <xf numFmtId="0" fontId="3" fillId="4" borderId="2" applyAlignment="1" pivotButton="0" quotePrefix="0" xfId="1">
      <alignment horizontal="left" vertical="top" wrapText="1"/>
    </xf>
    <xf numFmtId="0" fontId="1" fillId="0" borderId="2" applyAlignment="1" pivotButton="0" quotePrefix="0" xfId="1">
      <alignment vertical="top" wrapText="1"/>
    </xf>
    <xf numFmtId="18" fontId="3" fillId="2" borderId="2" applyAlignment="1" pivotButton="0" quotePrefix="0" xfId="1">
      <alignment horizontal="center" vertical="top" wrapText="1"/>
    </xf>
    <xf numFmtId="0" fontId="10" fillId="15" borderId="3" applyAlignment="1" pivotButton="0" quotePrefix="0" xfId="0">
      <alignment vertical="top" wrapText="1"/>
    </xf>
    <xf numFmtId="18" fontId="3" fillId="16" borderId="2" applyAlignment="1" pivotButton="0" quotePrefix="0" xfId="1">
      <alignment horizontal="center" vertical="top" wrapText="1"/>
    </xf>
    <xf numFmtId="0" fontId="3" fillId="16" borderId="2" applyAlignment="1" pivotButton="0" quotePrefix="0" xfId="1">
      <alignment horizontal="center" vertical="top" wrapText="1"/>
    </xf>
    <xf numFmtId="18" fontId="3" fillId="3" borderId="2" applyAlignment="1" pivotButton="0" quotePrefix="0" xfId="1">
      <alignment horizontal="center" vertical="top" wrapText="1"/>
    </xf>
    <xf numFmtId="0" fontId="3" fillId="3" borderId="2" applyAlignment="1" pivotButton="0" quotePrefix="0" xfId="1">
      <alignment horizontal="center" vertical="top" wrapText="1"/>
    </xf>
    <xf numFmtId="0" fontId="3" fillId="0" borderId="3" applyAlignment="1" pivotButton="0" quotePrefix="0" xfId="0">
      <alignment vertical="top" wrapText="1"/>
    </xf>
    <xf numFmtId="0" fontId="3" fillId="0" borderId="4" applyAlignment="1" pivotButton="0" quotePrefix="0" xfId="0">
      <alignment vertical="top" wrapText="1"/>
    </xf>
    <xf numFmtId="0" fontId="7" fillId="15" borderId="4" applyAlignment="1" pivotButton="0" quotePrefix="0" xfId="0">
      <alignment vertical="top" wrapText="1"/>
    </xf>
    <xf numFmtId="0" fontId="3" fillId="0" borderId="5" applyAlignment="1" pivotButton="0" quotePrefix="0" xfId="0">
      <alignment vertical="top" wrapText="1"/>
    </xf>
    <xf numFmtId="0" fontId="3" fillId="0" borderId="0" applyAlignment="1" pivotButton="0" quotePrefix="0" xfId="1">
      <alignment horizontal="left" vertical="top" wrapText="1"/>
    </xf>
    <xf numFmtId="18" fontId="3" fillId="17" borderId="2" applyAlignment="1" pivotButton="0" quotePrefix="0" xfId="1">
      <alignment horizontal="center" vertical="top" wrapText="1"/>
    </xf>
    <xf numFmtId="0" fontId="3" fillId="17" borderId="2" applyAlignment="1" pivotButton="0" quotePrefix="0" xfId="1">
      <alignment horizontal="center" vertical="top" wrapText="1"/>
    </xf>
    <xf numFmtId="18" fontId="3" fillId="18" borderId="2" applyAlignment="1" pivotButton="0" quotePrefix="0" xfId="1">
      <alignment horizontal="center" vertical="top" wrapText="1"/>
    </xf>
    <xf numFmtId="0" fontId="3" fillId="18" borderId="2" applyAlignment="1" pivotButton="0" quotePrefix="0" xfId="1">
      <alignment horizontal="center" vertical="top" wrapText="1"/>
    </xf>
    <xf numFmtId="0" fontId="3" fillId="0" borderId="0" applyAlignment="1" pivotButton="0" quotePrefix="0" xfId="0">
      <alignment vertical="top" wrapText="1"/>
    </xf>
    <xf numFmtId="0" fontId="3" fillId="14" borderId="0" applyAlignment="1" pivotButton="0" quotePrefix="0" xfId="1">
      <alignment horizontal="left" vertical="top" wrapText="1"/>
    </xf>
    <xf numFmtId="18" fontId="3" fillId="19" borderId="2" applyAlignment="1" pivotButton="0" quotePrefix="0" xfId="1">
      <alignment horizontal="center" vertical="top" wrapText="1"/>
    </xf>
    <xf numFmtId="0" fontId="7" fillId="5" borderId="0" applyAlignment="1" pivotButton="0" quotePrefix="0" xfId="1">
      <alignment horizontal="center" vertical="top" wrapText="1"/>
    </xf>
    <xf numFmtId="18" fontId="3" fillId="20" borderId="2" applyAlignment="1" pivotButton="0" quotePrefix="0" xfId="1">
      <alignment horizontal="center" vertical="top" wrapText="1"/>
    </xf>
    <xf numFmtId="0" fontId="3" fillId="20" borderId="2" applyAlignment="1" pivotButton="0" quotePrefix="0" xfId="1">
      <alignment horizontal="center" vertical="top" wrapText="1"/>
    </xf>
    <xf numFmtId="18" fontId="3" fillId="21" borderId="2" applyAlignment="1" pivotButton="0" quotePrefix="0" xfId="1">
      <alignment horizontal="center" vertical="top" wrapText="1"/>
    </xf>
    <xf numFmtId="0" fontId="3" fillId="21" borderId="2" applyAlignment="1" pivotButton="0" quotePrefix="0" xfId="1">
      <alignment horizontal="center" vertical="top" wrapText="1"/>
    </xf>
    <xf numFmtId="0" fontId="5" fillId="11" borderId="0" applyAlignment="1" pivotButton="0" quotePrefix="0" xfId="1">
      <alignment horizontal="left" vertical="top" wrapText="1"/>
    </xf>
    <xf numFmtId="0" fontId="6" fillId="0" borderId="0" applyAlignment="1" pivotButton="0" quotePrefix="0" xfId="1">
      <alignment horizontal="left" vertical="top" wrapText="1"/>
    </xf>
    <xf numFmtId="18" fontId="3" fillId="0" borderId="2" applyAlignment="1" pivotButton="0" quotePrefix="0" xfId="1">
      <alignment horizontal="center" vertical="top" wrapText="1"/>
    </xf>
    <xf numFmtId="0" fontId="3" fillId="0" borderId="2" applyAlignment="1" pivotButton="0" quotePrefix="0" xfId="1">
      <alignment horizontal="center" vertical="top" wrapText="1"/>
    </xf>
    <xf numFmtId="0" fontId="7" fillId="5" borderId="3" applyAlignment="1" pivotButton="0" quotePrefix="0" xfId="1">
      <alignment horizontal="center" vertical="top" wrapText="1"/>
    </xf>
    <xf numFmtId="0" fontId="3" fillId="0" borderId="3" applyAlignment="1" pivotButton="0" quotePrefix="0" xfId="1">
      <alignment horizontal="center" vertical="top" wrapText="1"/>
    </xf>
    <xf numFmtId="0" fontId="3" fillId="4" borderId="0" applyAlignment="1" pivotButton="0" quotePrefix="0" xfId="1">
      <alignment horizontal="left" vertical="top" wrapText="1"/>
    </xf>
    <xf numFmtId="0" fontId="4" fillId="3" borderId="2" applyAlignment="1" pivotButton="0" quotePrefix="0" xfId="1">
      <alignment vertical="top" wrapText="1"/>
    </xf>
    <xf numFmtId="0" fontId="4" fillId="2" borderId="2" applyAlignment="1" pivotButton="0" quotePrefix="0" xfId="1">
      <alignment vertical="top" wrapText="1"/>
    </xf>
    <xf numFmtId="0" fontId="0" fillId="0" borderId="2" applyAlignment="1" pivotButton="0" quotePrefix="0" xfId="0">
      <alignment vertical="top" wrapText="1"/>
    </xf>
    <xf numFmtId="0" fontId="4" fillId="0" borderId="2" applyAlignment="1" pivotButton="0" quotePrefix="0" xfId="1">
      <alignment vertical="top" wrapText="1"/>
    </xf>
    <xf numFmtId="0" fontId="3" fillId="2" borderId="0" applyAlignment="1" pivotButton="0" quotePrefix="0" xfId="1">
      <alignment horizontal="left" vertical="top" wrapText="1"/>
    </xf>
    <xf numFmtId="0" fontId="3" fillId="0" borderId="0" applyAlignment="1" pivotButton="0" quotePrefix="0" xfId="1">
      <alignment horizontal="center" vertical="top" wrapText="1"/>
    </xf>
    <xf numFmtId="18" fontId="3" fillId="20" borderId="0" applyAlignment="1" pivotButton="0" quotePrefix="0" xfId="1">
      <alignment horizontal="center" vertical="top" wrapText="1"/>
    </xf>
    <xf numFmtId="0" fontId="3" fillId="18" borderId="0" applyAlignment="1" pivotButton="0" quotePrefix="0" xfId="1">
      <alignment horizontal="center" vertical="top" wrapText="1"/>
    </xf>
    <xf numFmtId="18" fontId="3" fillId="14" borderId="0" applyAlignment="1" pivotButton="0" quotePrefix="0" xfId="1">
      <alignment horizontal="center" vertical="top" wrapText="1"/>
    </xf>
    <xf numFmtId="0" fontId="3" fillId="14" borderId="0" applyAlignment="1" pivotButton="0" quotePrefix="0" xfId="1">
      <alignment horizontal="center" vertical="top" wrapText="1"/>
    </xf>
    <xf numFmtId="18" fontId="3" fillId="0" borderId="0" applyAlignment="1" pivotButton="0" quotePrefix="0" xfId="1">
      <alignment horizontal="center" vertical="top" wrapText="1"/>
    </xf>
    <xf numFmtId="0" fontId="7" fillId="6" borderId="0" applyAlignment="1" pivotButton="0" quotePrefix="0" xfId="1">
      <alignment horizontal="center" vertical="top" wrapText="1"/>
    </xf>
    <xf numFmtId="18" fontId="3" fillId="7" borderId="0" applyAlignment="1" pivotButton="0" quotePrefix="0" xfId="1">
      <alignment horizontal="center" vertical="top" wrapText="1"/>
    </xf>
    <xf numFmtId="0" fontId="3" fillId="7" borderId="0" applyAlignment="1" pivotButton="0" quotePrefix="0" xfId="1">
      <alignment horizontal="center" vertical="top" wrapText="1"/>
    </xf>
    <xf numFmtId="18" fontId="3" fillId="16" borderId="0" applyAlignment="1" pivotButton="0" quotePrefix="0" xfId="1">
      <alignment horizontal="center" vertical="top" wrapText="1"/>
    </xf>
    <xf numFmtId="0" fontId="3" fillId="16" borderId="0" applyAlignment="1" pivotButton="0" quotePrefix="0" xfId="1">
      <alignment horizontal="center" vertical="top" wrapText="1"/>
    </xf>
    <xf numFmtId="18" fontId="3" fillId="9" borderId="0" applyAlignment="1" pivotButton="0" quotePrefix="0" xfId="1">
      <alignment horizontal="center" vertical="top" wrapText="1"/>
    </xf>
    <xf numFmtId="0" fontId="3" fillId="9" borderId="0" applyAlignment="1" pivotButton="0" quotePrefix="0" xfId="1">
      <alignment horizontal="center" vertical="top" wrapText="1"/>
    </xf>
    <xf numFmtId="18" fontId="11" fillId="22" borderId="3" applyAlignment="1" pivotButton="0" quotePrefix="0" xfId="1">
      <alignment horizontal="center" vertical="top" wrapText="1"/>
    </xf>
    <xf numFmtId="0" fontId="11" fillId="22" borderId="3" applyAlignment="1" pivotButton="0" quotePrefix="0" xfId="1">
      <alignment horizontal="center" vertical="top" wrapText="1"/>
    </xf>
    <xf numFmtId="18" fontId="3" fillId="22" borderId="2" applyAlignment="1" pivotButton="0" quotePrefix="0" xfId="1">
      <alignment horizontal="center" vertical="top" wrapText="1"/>
    </xf>
    <xf numFmtId="0" fontId="3" fillId="22" borderId="2" applyAlignment="1" pivotButton="0" quotePrefix="0" xfId="1">
      <alignment horizontal="center" vertical="top" wrapText="1"/>
    </xf>
    <xf numFmtId="0" fontId="10" fillId="15" borderId="4" applyAlignment="1" pivotButton="0" quotePrefix="0" xfId="0">
      <alignment vertical="top" wrapText="1"/>
    </xf>
    <xf numFmtId="0" fontId="11" fillId="0" borderId="4" applyAlignment="1" pivotButton="0" quotePrefix="0" xfId="0">
      <alignment vertical="top" wrapText="1"/>
    </xf>
    <xf numFmtId="0" fontId="11" fillId="0" borderId="5" applyAlignment="1" pivotButton="0" quotePrefix="0" xfId="0">
      <alignment vertical="top" wrapText="1"/>
    </xf>
    <xf numFmtId="0" fontId="11" fillId="0" borderId="0" applyAlignment="1" pivotButton="0" quotePrefix="0" xfId="0">
      <alignment vertical="top" wrapText="1"/>
    </xf>
    <xf numFmtId="18" fontId="3" fillId="23" borderId="2" applyAlignment="1" pivotButton="0" quotePrefix="0" xfId="1">
      <alignment horizontal="center" vertical="top" wrapText="1"/>
    </xf>
    <xf numFmtId="0" fontId="3" fillId="23" borderId="2" applyAlignment="1" pivotButton="0" quotePrefix="0" xfId="1">
      <alignment horizontal="center"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externalLinks/_rels/externalLink1.xml.rels><Relationships xmlns="http://schemas.openxmlformats.org/package/2006/relationships"><Relationship Type="http://schemas.openxmlformats.org/officeDocument/2006/relationships/externalLinkPath" Target="https://d.docs.live.net/3855f880ed544a27/Documents/Mighty%20Knight/Scheduling%20software/Bathri%20Mighty%20Knight/Oct_26_Schedule_Excel_with_Filters.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Oct26 Schedule"/>
      <sheetName val="Class Roster"/>
      <sheetName val="Summary &amp; Rules"/>
    </sheetNames>
    <sheetDataSet>
      <sheetData sheetId="0"/>
      <sheetData sheetId="1">
        <row r="6">
          <cell r="A6">
            <v>46296</v>
          </cell>
          <cell r="G6">
            <v>1</v>
          </cell>
        </row>
        <row r="7">
          <cell r="A7">
            <v>46296</v>
          </cell>
          <cell r="G7">
            <v>5</v>
          </cell>
        </row>
        <row r="8">
          <cell r="A8">
            <v>46296</v>
          </cell>
          <cell r="G8">
            <v>1</v>
          </cell>
        </row>
        <row r="9">
          <cell r="A9">
            <v>46296</v>
          </cell>
          <cell r="G9">
            <v>3</v>
          </cell>
        </row>
        <row r="10">
          <cell r="A10">
            <v>46296</v>
          </cell>
          <cell r="G10">
            <v>8</v>
          </cell>
        </row>
        <row r="11">
          <cell r="A11">
            <v>46296</v>
          </cell>
          <cell r="G11">
            <v>1</v>
          </cell>
        </row>
        <row r="12">
          <cell r="A12">
            <v>46296</v>
          </cell>
          <cell r="G12">
            <v>6</v>
          </cell>
        </row>
        <row r="13">
          <cell r="A13">
            <v>46296</v>
          </cell>
          <cell r="G13">
            <v>7</v>
          </cell>
        </row>
        <row r="14">
          <cell r="A14">
            <v>46296</v>
          </cell>
          <cell r="G14">
            <v>1</v>
          </cell>
        </row>
        <row r="15">
          <cell r="A15">
            <v>46297</v>
          </cell>
          <cell r="G15">
            <v>1</v>
          </cell>
        </row>
        <row r="16">
          <cell r="A16">
            <v>46297</v>
          </cell>
          <cell r="G16">
            <v>1</v>
          </cell>
        </row>
        <row r="17">
          <cell r="A17">
            <v>46297</v>
          </cell>
          <cell r="G17">
            <v>1</v>
          </cell>
        </row>
        <row r="18">
          <cell r="A18">
            <v>46297</v>
          </cell>
          <cell r="G18">
            <v>1</v>
          </cell>
        </row>
        <row r="19">
          <cell r="A19">
            <v>46297</v>
          </cell>
          <cell r="G19">
            <v>4</v>
          </cell>
        </row>
        <row r="20">
          <cell r="A20">
            <v>46297</v>
          </cell>
          <cell r="G20">
            <v>1</v>
          </cell>
        </row>
        <row r="21">
          <cell r="A21">
            <v>46297</v>
          </cell>
          <cell r="G21">
            <v>5</v>
          </cell>
        </row>
        <row r="22">
          <cell r="A22">
            <v>46297</v>
          </cell>
          <cell r="G22">
            <v>1</v>
          </cell>
        </row>
        <row r="23">
          <cell r="A23">
            <v>46297</v>
          </cell>
          <cell r="G23">
            <v>6</v>
          </cell>
        </row>
        <row r="24">
          <cell r="A24">
            <v>46297</v>
          </cell>
          <cell r="G24">
            <v>1</v>
          </cell>
        </row>
        <row r="25">
          <cell r="A25">
            <v>46297</v>
          </cell>
          <cell r="G25">
            <v>8</v>
          </cell>
        </row>
        <row r="26">
          <cell r="A26">
            <v>46297</v>
          </cell>
          <cell r="G26">
            <v>4</v>
          </cell>
        </row>
        <row r="27">
          <cell r="A27">
            <v>46297</v>
          </cell>
          <cell r="G27">
            <v>7</v>
          </cell>
        </row>
        <row r="28">
          <cell r="A28">
            <v>46298</v>
          </cell>
          <cell r="G28">
            <v>1</v>
          </cell>
        </row>
        <row r="29">
          <cell r="A29">
            <v>46298</v>
          </cell>
          <cell r="G29">
            <v>1</v>
          </cell>
        </row>
        <row r="30">
          <cell r="A30">
            <v>46298</v>
          </cell>
          <cell r="G30">
            <v>3</v>
          </cell>
        </row>
        <row r="31">
          <cell r="A31">
            <v>46298</v>
          </cell>
          <cell r="G31">
            <v>1</v>
          </cell>
        </row>
        <row r="32">
          <cell r="A32">
            <v>46298</v>
          </cell>
          <cell r="G32">
            <v>2</v>
          </cell>
        </row>
        <row r="33">
          <cell r="A33">
            <v>46298</v>
          </cell>
          <cell r="G33">
            <v>2</v>
          </cell>
        </row>
        <row r="34">
          <cell r="A34">
            <v>46298</v>
          </cell>
          <cell r="G34">
            <v>2</v>
          </cell>
        </row>
        <row r="35">
          <cell r="A35">
            <v>46298</v>
          </cell>
          <cell r="G35">
            <v>2</v>
          </cell>
        </row>
        <row r="36">
          <cell r="A36">
            <v>46298</v>
          </cell>
          <cell r="G36">
            <v>5</v>
          </cell>
        </row>
        <row r="37">
          <cell r="A37">
            <v>46298</v>
          </cell>
          <cell r="G37">
            <v>4</v>
          </cell>
        </row>
        <row r="38">
          <cell r="A38">
            <v>46298</v>
          </cell>
          <cell r="G38">
            <v>7</v>
          </cell>
        </row>
        <row r="39">
          <cell r="A39">
            <v>46298</v>
          </cell>
          <cell r="G39">
            <v>4</v>
          </cell>
        </row>
        <row r="40">
          <cell r="A40">
            <v>46298</v>
          </cell>
          <cell r="G40">
            <v>1</v>
          </cell>
        </row>
        <row r="41">
          <cell r="A41">
            <v>46298</v>
          </cell>
          <cell r="G41">
            <v>8</v>
          </cell>
        </row>
        <row r="42">
          <cell r="A42">
            <v>46298</v>
          </cell>
          <cell r="G42">
            <v>1</v>
          </cell>
        </row>
        <row r="43">
          <cell r="A43">
            <v>46298</v>
          </cell>
          <cell r="G43">
            <v>3</v>
          </cell>
        </row>
        <row r="44">
          <cell r="A44">
            <v>46298</v>
          </cell>
          <cell r="G44">
            <v>8</v>
          </cell>
        </row>
        <row r="45">
          <cell r="A45">
            <v>46298</v>
          </cell>
          <cell r="G45">
            <v>7</v>
          </cell>
        </row>
        <row r="46">
          <cell r="A46">
            <v>46298</v>
          </cell>
          <cell r="G46">
            <v>4</v>
          </cell>
        </row>
        <row r="47">
          <cell r="A47">
            <v>46299</v>
          </cell>
          <cell r="G47">
            <v>1</v>
          </cell>
        </row>
        <row r="48">
          <cell r="A48">
            <v>46299</v>
          </cell>
          <cell r="G48">
            <v>17</v>
          </cell>
        </row>
        <row r="49">
          <cell r="A49">
            <v>46299</v>
          </cell>
          <cell r="G49">
            <v>5</v>
          </cell>
        </row>
        <row r="50">
          <cell r="A50">
            <v>46299</v>
          </cell>
          <cell r="G50">
            <v>1</v>
          </cell>
        </row>
        <row r="51">
          <cell r="A51">
            <v>46299</v>
          </cell>
          <cell r="G51">
            <v>6</v>
          </cell>
        </row>
        <row r="52">
          <cell r="A52">
            <v>46299</v>
          </cell>
          <cell r="G52">
            <v>6</v>
          </cell>
        </row>
        <row r="53">
          <cell r="A53">
            <v>46299</v>
          </cell>
          <cell r="G53">
            <v>16</v>
          </cell>
        </row>
        <row r="54">
          <cell r="A54">
            <v>46299</v>
          </cell>
          <cell r="G54">
            <v>10</v>
          </cell>
        </row>
        <row r="55">
          <cell r="A55">
            <v>46299</v>
          </cell>
          <cell r="G55">
            <v>6</v>
          </cell>
        </row>
        <row r="56">
          <cell r="A56">
            <v>46299</v>
          </cell>
          <cell r="G56">
            <v>4</v>
          </cell>
        </row>
        <row r="57">
          <cell r="A57">
            <v>46299</v>
          </cell>
          <cell r="G57">
            <v>5</v>
          </cell>
        </row>
        <row r="58">
          <cell r="A58">
            <v>46299</v>
          </cell>
          <cell r="G58">
            <v>5</v>
          </cell>
        </row>
        <row r="59">
          <cell r="A59">
            <v>46300</v>
          </cell>
          <cell r="G59">
            <v>3</v>
          </cell>
        </row>
        <row r="60">
          <cell r="A60">
            <v>46300</v>
          </cell>
          <cell r="G60">
            <v>1</v>
          </cell>
        </row>
        <row r="61">
          <cell r="A61">
            <v>46300</v>
          </cell>
          <cell r="G61">
            <v>1</v>
          </cell>
        </row>
        <row r="62">
          <cell r="A62">
            <v>46300</v>
          </cell>
          <cell r="G62">
            <v>4</v>
          </cell>
        </row>
        <row r="63">
          <cell r="A63">
            <v>46300</v>
          </cell>
          <cell r="G63">
            <v>4</v>
          </cell>
        </row>
        <row r="64">
          <cell r="A64">
            <v>46300</v>
          </cell>
          <cell r="G64">
            <v>1</v>
          </cell>
        </row>
        <row r="65">
          <cell r="A65">
            <v>46300</v>
          </cell>
          <cell r="G65">
            <v>7</v>
          </cell>
        </row>
        <row r="66">
          <cell r="A66">
            <v>46300</v>
          </cell>
          <cell r="G66">
            <v>1</v>
          </cell>
        </row>
        <row r="67">
          <cell r="A67">
            <v>46300</v>
          </cell>
          <cell r="G67">
            <v>7</v>
          </cell>
        </row>
        <row r="68">
          <cell r="A68">
            <v>46300</v>
          </cell>
          <cell r="G68">
            <v>7</v>
          </cell>
        </row>
        <row r="69">
          <cell r="A69">
            <v>46300</v>
          </cell>
          <cell r="G69">
            <v>6</v>
          </cell>
        </row>
        <row r="70">
          <cell r="A70">
            <v>46301</v>
          </cell>
          <cell r="G70">
            <v>1</v>
          </cell>
        </row>
        <row r="71">
          <cell r="A71">
            <v>46301</v>
          </cell>
          <cell r="G71">
            <v>1</v>
          </cell>
        </row>
        <row r="72">
          <cell r="A72">
            <v>46301</v>
          </cell>
          <cell r="G72">
            <v>1</v>
          </cell>
        </row>
        <row r="73">
          <cell r="A73">
            <v>46301</v>
          </cell>
          <cell r="G73">
            <v>1</v>
          </cell>
        </row>
        <row r="74">
          <cell r="A74">
            <v>46301</v>
          </cell>
          <cell r="G74">
            <v>4</v>
          </cell>
        </row>
        <row r="75">
          <cell r="A75">
            <v>46301</v>
          </cell>
          <cell r="G75">
            <v>8</v>
          </cell>
        </row>
        <row r="76">
          <cell r="A76">
            <v>46301</v>
          </cell>
          <cell r="G76">
            <v>4</v>
          </cell>
        </row>
        <row r="77">
          <cell r="A77">
            <v>46301</v>
          </cell>
          <cell r="G77">
            <v>1</v>
          </cell>
        </row>
        <row r="78">
          <cell r="A78">
            <v>46301</v>
          </cell>
          <cell r="G78">
            <v>2</v>
          </cell>
        </row>
        <row r="79">
          <cell r="A79">
            <v>46301</v>
          </cell>
          <cell r="G79">
            <v>8</v>
          </cell>
        </row>
        <row r="80">
          <cell r="A80">
            <v>46301</v>
          </cell>
          <cell r="G80">
            <v>4</v>
          </cell>
        </row>
        <row r="81">
          <cell r="A81">
            <v>46301</v>
          </cell>
          <cell r="G81">
            <v>1</v>
          </cell>
        </row>
        <row r="82">
          <cell r="A82">
            <v>46302</v>
          </cell>
          <cell r="G82">
            <v>2</v>
          </cell>
        </row>
        <row r="83">
          <cell r="A83">
            <v>46302</v>
          </cell>
          <cell r="G83">
            <v>1</v>
          </cell>
        </row>
        <row r="84">
          <cell r="A84">
            <v>46302</v>
          </cell>
          <cell r="G84">
            <v>1</v>
          </cell>
        </row>
        <row r="85">
          <cell r="A85">
            <v>46302</v>
          </cell>
          <cell r="G85">
            <v>1</v>
          </cell>
        </row>
        <row r="86">
          <cell r="A86">
            <v>46302</v>
          </cell>
          <cell r="G86">
            <v>1</v>
          </cell>
        </row>
        <row r="87">
          <cell r="A87">
            <v>46302</v>
          </cell>
          <cell r="G87">
            <v>4</v>
          </cell>
        </row>
        <row r="88">
          <cell r="A88">
            <v>46302</v>
          </cell>
          <cell r="G88">
            <v>1</v>
          </cell>
        </row>
        <row r="89">
          <cell r="A89">
            <v>46302</v>
          </cell>
          <cell r="G89">
            <v>1</v>
          </cell>
        </row>
        <row r="90">
          <cell r="A90">
            <v>46302</v>
          </cell>
          <cell r="G90">
            <v>4</v>
          </cell>
        </row>
        <row r="91">
          <cell r="A91">
            <v>46302</v>
          </cell>
          <cell r="G91">
            <v>1</v>
          </cell>
        </row>
        <row r="92">
          <cell r="A92">
            <v>46302</v>
          </cell>
          <cell r="G92">
            <v>7</v>
          </cell>
        </row>
        <row r="93">
          <cell r="A93">
            <v>46302</v>
          </cell>
          <cell r="G93">
            <v>1</v>
          </cell>
        </row>
        <row r="94">
          <cell r="A94">
            <v>46302</v>
          </cell>
          <cell r="G94">
            <v>4</v>
          </cell>
        </row>
        <row r="95">
          <cell r="A95">
            <v>46302</v>
          </cell>
          <cell r="G95">
            <v>5</v>
          </cell>
        </row>
        <row r="96">
          <cell r="A96">
            <v>46302</v>
          </cell>
          <cell r="G96">
            <v>1</v>
          </cell>
        </row>
        <row r="97">
          <cell r="A97">
            <v>46303</v>
          </cell>
          <cell r="G97">
            <v>1</v>
          </cell>
        </row>
        <row r="98">
          <cell r="A98">
            <v>46303</v>
          </cell>
          <cell r="G98">
            <v>5</v>
          </cell>
        </row>
        <row r="99">
          <cell r="A99">
            <v>46303</v>
          </cell>
          <cell r="G99">
            <v>1</v>
          </cell>
        </row>
        <row r="100">
          <cell r="A100">
            <v>46303</v>
          </cell>
          <cell r="G100">
            <v>4</v>
          </cell>
        </row>
        <row r="101">
          <cell r="A101">
            <v>46303</v>
          </cell>
          <cell r="G101">
            <v>8</v>
          </cell>
        </row>
        <row r="102">
          <cell r="A102">
            <v>46303</v>
          </cell>
          <cell r="G102">
            <v>1</v>
          </cell>
        </row>
        <row r="103">
          <cell r="A103">
            <v>46303</v>
          </cell>
          <cell r="G103">
            <v>6</v>
          </cell>
        </row>
        <row r="104">
          <cell r="A104">
            <v>46303</v>
          </cell>
          <cell r="G104">
            <v>5</v>
          </cell>
        </row>
        <row r="105">
          <cell r="A105">
            <v>46303</v>
          </cell>
          <cell r="G105">
            <v>1</v>
          </cell>
        </row>
        <row r="106">
          <cell r="A106">
            <v>46304</v>
          </cell>
          <cell r="G106">
            <v>1</v>
          </cell>
        </row>
        <row r="107">
          <cell r="A107">
            <v>46304</v>
          </cell>
          <cell r="G107">
            <v>1</v>
          </cell>
        </row>
        <row r="108">
          <cell r="A108">
            <v>46304</v>
          </cell>
          <cell r="G108">
            <v>1</v>
          </cell>
        </row>
        <row r="109">
          <cell r="A109">
            <v>46304</v>
          </cell>
          <cell r="G109">
            <v>1</v>
          </cell>
        </row>
        <row r="110">
          <cell r="A110">
            <v>46304</v>
          </cell>
          <cell r="G110">
            <v>4</v>
          </cell>
        </row>
        <row r="111">
          <cell r="A111">
            <v>46304</v>
          </cell>
          <cell r="G111">
            <v>1</v>
          </cell>
        </row>
        <row r="112">
          <cell r="A112">
            <v>46304</v>
          </cell>
          <cell r="G112">
            <v>6</v>
          </cell>
        </row>
        <row r="113">
          <cell r="A113">
            <v>46304</v>
          </cell>
          <cell r="G113">
            <v>1</v>
          </cell>
        </row>
        <row r="114">
          <cell r="A114">
            <v>46304</v>
          </cell>
          <cell r="G114">
            <v>7</v>
          </cell>
        </row>
        <row r="115">
          <cell r="A115">
            <v>46304</v>
          </cell>
          <cell r="G115">
            <v>1</v>
          </cell>
        </row>
        <row r="116">
          <cell r="A116">
            <v>46304</v>
          </cell>
          <cell r="G116">
            <v>5</v>
          </cell>
        </row>
        <row r="117">
          <cell r="A117">
            <v>46304</v>
          </cell>
          <cell r="G117">
            <v>5</v>
          </cell>
        </row>
        <row r="118">
          <cell r="A118">
            <v>46304</v>
          </cell>
          <cell r="G118">
            <v>7</v>
          </cell>
        </row>
        <row r="119">
          <cell r="A119">
            <v>46305</v>
          </cell>
          <cell r="G119">
            <v>1</v>
          </cell>
        </row>
        <row r="120">
          <cell r="A120">
            <v>46305</v>
          </cell>
          <cell r="G120">
            <v>1</v>
          </cell>
        </row>
        <row r="121">
          <cell r="A121">
            <v>46305</v>
          </cell>
          <cell r="G121">
            <v>2</v>
          </cell>
        </row>
        <row r="122">
          <cell r="A122">
            <v>46305</v>
          </cell>
          <cell r="G122">
            <v>1</v>
          </cell>
        </row>
        <row r="123">
          <cell r="A123">
            <v>46305</v>
          </cell>
          <cell r="G123">
            <v>2</v>
          </cell>
        </row>
        <row r="124">
          <cell r="A124">
            <v>46305</v>
          </cell>
          <cell r="G124">
            <v>2</v>
          </cell>
        </row>
        <row r="125">
          <cell r="A125">
            <v>46305</v>
          </cell>
          <cell r="G125">
            <v>2</v>
          </cell>
        </row>
        <row r="126">
          <cell r="A126">
            <v>46305</v>
          </cell>
          <cell r="G126">
            <v>3</v>
          </cell>
        </row>
        <row r="127">
          <cell r="A127">
            <v>46305</v>
          </cell>
          <cell r="G127">
            <v>5</v>
          </cell>
        </row>
        <row r="128">
          <cell r="A128">
            <v>46305</v>
          </cell>
          <cell r="G128">
            <v>4</v>
          </cell>
        </row>
        <row r="129">
          <cell r="A129">
            <v>46305</v>
          </cell>
          <cell r="G129">
            <v>7</v>
          </cell>
        </row>
        <row r="130">
          <cell r="A130">
            <v>46305</v>
          </cell>
          <cell r="G130">
            <v>4</v>
          </cell>
        </row>
        <row r="131">
          <cell r="A131">
            <v>46305</v>
          </cell>
          <cell r="G131">
            <v>1</v>
          </cell>
        </row>
        <row r="132">
          <cell r="A132">
            <v>46305</v>
          </cell>
          <cell r="G132">
            <v>8</v>
          </cell>
        </row>
        <row r="133">
          <cell r="A133">
            <v>46305</v>
          </cell>
          <cell r="G133">
            <v>1</v>
          </cell>
        </row>
        <row r="134">
          <cell r="A134">
            <v>46305</v>
          </cell>
          <cell r="G134">
            <v>3</v>
          </cell>
        </row>
        <row r="135">
          <cell r="A135">
            <v>46305</v>
          </cell>
          <cell r="G135">
            <v>8</v>
          </cell>
        </row>
        <row r="136">
          <cell r="A136">
            <v>46305</v>
          </cell>
          <cell r="G136">
            <v>7</v>
          </cell>
        </row>
        <row r="137">
          <cell r="A137">
            <v>46305</v>
          </cell>
          <cell r="G137">
            <v>4</v>
          </cell>
        </row>
        <row r="138">
          <cell r="A138">
            <v>46306</v>
          </cell>
          <cell r="G138">
            <v>1</v>
          </cell>
        </row>
        <row r="139">
          <cell r="A139">
            <v>46306</v>
          </cell>
          <cell r="G139">
            <v>17</v>
          </cell>
        </row>
        <row r="140">
          <cell r="A140">
            <v>46306</v>
          </cell>
          <cell r="G140">
            <v>5</v>
          </cell>
        </row>
        <row r="141">
          <cell r="A141">
            <v>46306</v>
          </cell>
          <cell r="G141">
            <v>1</v>
          </cell>
        </row>
        <row r="142">
          <cell r="A142">
            <v>46306</v>
          </cell>
          <cell r="G142">
            <v>5</v>
          </cell>
        </row>
        <row r="143">
          <cell r="A143">
            <v>46306</v>
          </cell>
          <cell r="G143">
            <v>6</v>
          </cell>
        </row>
        <row r="144">
          <cell r="A144">
            <v>46306</v>
          </cell>
          <cell r="G144">
            <v>16</v>
          </cell>
        </row>
        <row r="145">
          <cell r="A145">
            <v>46306</v>
          </cell>
          <cell r="G145">
            <v>12</v>
          </cell>
        </row>
        <row r="146">
          <cell r="A146">
            <v>46306</v>
          </cell>
          <cell r="G146">
            <v>5</v>
          </cell>
        </row>
        <row r="147">
          <cell r="A147">
            <v>46306</v>
          </cell>
          <cell r="G147">
            <v>4</v>
          </cell>
        </row>
        <row r="148">
          <cell r="A148">
            <v>46306</v>
          </cell>
          <cell r="G148">
            <v>6</v>
          </cell>
        </row>
        <row r="149">
          <cell r="A149">
            <v>46306</v>
          </cell>
          <cell r="G149">
            <v>5</v>
          </cell>
        </row>
        <row r="150">
          <cell r="A150">
            <v>46307</v>
          </cell>
          <cell r="G150">
            <v>2</v>
          </cell>
        </row>
        <row r="151">
          <cell r="A151">
            <v>46307</v>
          </cell>
          <cell r="G151">
            <v>1</v>
          </cell>
        </row>
        <row r="152">
          <cell r="A152">
            <v>46307</v>
          </cell>
          <cell r="G152">
            <v>1</v>
          </cell>
        </row>
        <row r="153">
          <cell r="A153">
            <v>46307</v>
          </cell>
          <cell r="G153">
            <v>1</v>
          </cell>
        </row>
        <row r="154">
          <cell r="A154">
            <v>46307</v>
          </cell>
          <cell r="G154">
            <v>7</v>
          </cell>
        </row>
        <row r="155">
          <cell r="A155">
            <v>46307</v>
          </cell>
          <cell r="G155">
            <v>4</v>
          </cell>
        </row>
        <row r="156">
          <cell r="A156">
            <v>46307</v>
          </cell>
          <cell r="G156">
            <v>6</v>
          </cell>
        </row>
        <row r="157">
          <cell r="A157">
            <v>46307</v>
          </cell>
          <cell r="G157">
            <v>1</v>
          </cell>
        </row>
        <row r="158">
          <cell r="A158">
            <v>46307</v>
          </cell>
          <cell r="G158">
            <v>7</v>
          </cell>
        </row>
        <row r="159">
          <cell r="A159">
            <v>46307</v>
          </cell>
          <cell r="G159">
            <v>6</v>
          </cell>
        </row>
        <row r="160">
          <cell r="A160">
            <v>46307</v>
          </cell>
          <cell r="G160">
            <v>7</v>
          </cell>
        </row>
        <row r="161">
          <cell r="A161">
            <v>46308</v>
          </cell>
          <cell r="G161">
            <v>1</v>
          </cell>
        </row>
        <row r="162">
          <cell r="A162">
            <v>46308</v>
          </cell>
          <cell r="G162">
            <v>1</v>
          </cell>
        </row>
        <row r="163">
          <cell r="A163">
            <v>46308</v>
          </cell>
          <cell r="G163">
            <v>1</v>
          </cell>
        </row>
        <row r="164">
          <cell r="A164">
            <v>46308</v>
          </cell>
          <cell r="G164">
            <v>1</v>
          </cell>
        </row>
        <row r="165">
          <cell r="A165">
            <v>46308</v>
          </cell>
          <cell r="G165">
            <v>4</v>
          </cell>
        </row>
        <row r="166">
          <cell r="A166">
            <v>46308</v>
          </cell>
          <cell r="G166">
            <v>8</v>
          </cell>
        </row>
        <row r="167">
          <cell r="A167">
            <v>46308</v>
          </cell>
          <cell r="G167">
            <v>4</v>
          </cell>
        </row>
        <row r="168">
          <cell r="A168">
            <v>46308</v>
          </cell>
          <cell r="G168">
            <v>1</v>
          </cell>
        </row>
        <row r="169">
          <cell r="A169">
            <v>46308</v>
          </cell>
          <cell r="G169">
            <v>2</v>
          </cell>
        </row>
        <row r="170">
          <cell r="A170">
            <v>46308</v>
          </cell>
          <cell r="G170">
            <v>7</v>
          </cell>
        </row>
        <row r="171">
          <cell r="A171">
            <v>46308</v>
          </cell>
          <cell r="G171">
            <v>4</v>
          </cell>
        </row>
        <row r="172">
          <cell r="A172">
            <v>46308</v>
          </cell>
          <cell r="G172">
            <v>2</v>
          </cell>
        </row>
        <row r="173">
          <cell r="A173">
            <v>46309</v>
          </cell>
          <cell r="G173">
            <v>4</v>
          </cell>
        </row>
        <row r="174">
          <cell r="A174">
            <v>46309</v>
          </cell>
          <cell r="G174">
            <v>1</v>
          </cell>
        </row>
        <row r="175">
          <cell r="A175">
            <v>46309</v>
          </cell>
          <cell r="G175">
            <v>1</v>
          </cell>
        </row>
        <row r="176">
          <cell r="A176">
            <v>46309</v>
          </cell>
          <cell r="G176">
            <v>4</v>
          </cell>
        </row>
        <row r="177">
          <cell r="A177">
            <v>46309</v>
          </cell>
          <cell r="G177">
            <v>1</v>
          </cell>
        </row>
        <row r="178">
          <cell r="A178">
            <v>46309</v>
          </cell>
          <cell r="G178">
            <v>1</v>
          </cell>
        </row>
        <row r="179">
          <cell r="A179">
            <v>46309</v>
          </cell>
          <cell r="G179">
            <v>4</v>
          </cell>
        </row>
        <row r="180">
          <cell r="A180">
            <v>46309</v>
          </cell>
          <cell r="G180">
            <v>1</v>
          </cell>
        </row>
        <row r="181">
          <cell r="A181">
            <v>46309</v>
          </cell>
          <cell r="G181">
            <v>7</v>
          </cell>
        </row>
        <row r="182">
          <cell r="A182">
            <v>46309</v>
          </cell>
          <cell r="G182">
            <v>1</v>
          </cell>
        </row>
        <row r="183">
          <cell r="A183">
            <v>46309</v>
          </cell>
          <cell r="G183">
            <v>4</v>
          </cell>
        </row>
        <row r="184">
          <cell r="A184">
            <v>46309</v>
          </cell>
          <cell r="G184">
            <v>5</v>
          </cell>
        </row>
        <row r="185">
          <cell r="A185">
            <v>46309</v>
          </cell>
          <cell r="G185">
            <v>1</v>
          </cell>
        </row>
        <row r="186">
          <cell r="A186">
            <v>46310</v>
          </cell>
          <cell r="G186">
            <v>1</v>
          </cell>
        </row>
        <row r="187">
          <cell r="A187">
            <v>46310</v>
          </cell>
          <cell r="G187">
            <v>5</v>
          </cell>
        </row>
        <row r="188">
          <cell r="A188">
            <v>46310</v>
          </cell>
          <cell r="G188">
            <v>1</v>
          </cell>
        </row>
        <row r="189">
          <cell r="A189">
            <v>46310</v>
          </cell>
          <cell r="G189">
            <v>3</v>
          </cell>
        </row>
        <row r="190">
          <cell r="A190">
            <v>46310</v>
          </cell>
          <cell r="G190">
            <v>8</v>
          </cell>
        </row>
        <row r="191">
          <cell r="A191">
            <v>46310</v>
          </cell>
          <cell r="G191">
            <v>1</v>
          </cell>
        </row>
        <row r="192">
          <cell r="A192">
            <v>46310</v>
          </cell>
          <cell r="G192">
            <v>1</v>
          </cell>
        </row>
        <row r="193">
          <cell r="A193">
            <v>46310</v>
          </cell>
          <cell r="G193">
            <v>7</v>
          </cell>
        </row>
        <row r="194">
          <cell r="A194">
            <v>46310</v>
          </cell>
          <cell r="G194">
            <v>4</v>
          </cell>
        </row>
        <row r="195">
          <cell r="A195">
            <v>46310</v>
          </cell>
          <cell r="G195">
            <v>1</v>
          </cell>
        </row>
        <row r="196">
          <cell r="A196">
            <v>46311</v>
          </cell>
          <cell r="G196">
            <v>1</v>
          </cell>
        </row>
        <row r="197">
          <cell r="A197">
            <v>46311</v>
          </cell>
          <cell r="G197">
            <v>1</v>
          </cell>
        </row>
        <row r="198">
          <cell r="A198">
            <v>46311</v>
          </cell>
          <cell r="G198">
            <v>1</v>
          </cell>
        </row>
        <row r="199">
          <cell r="A199">
            <v>46311</v>
          </cell>
          <cell r="G199">
            <v>1</v>
          </cell>
        </row>
        <row r="200">
          <cell r="A200">
            <v>46311</v>
          </cell>
          <cell r="G200">
            <v>4</v>
          </cell>
        </row>
        <row r="201">
          <cell r="A201">
            <v>46311</v>
          </cell>
          <cell r="G201">
            <v>1</v>
          </cell>
        </row>
        <row r="202">
          <cell r="A202">
            <v>46311</v>
          </cell>
          <cell r="G202">
            <v>4</v>
          </cell>
        </row>
        <row r="203">
          <cell r="A203">
            <v>46311</v>
          </cell>
          <cell r="G203">
            <v>1</v>
          </cell>
        </row>
        <row r="204">
          <cell r="A204">
            <v>46311</v>
          </cell>
          <cell r="G204">
            <v>7</v>
          </cell>
        </row>
        <row r="205">
          <cell r="A205">
            <v>46311</v>
          </cell>
          <cell r="G205">
            <v>1</v>
          </cell>
        </row>
        <row r="206">
          <cell r="A206">
            <v>46311</v>
          </cell>
          <cell r="G206">
            <v>5</v>
          </cell>
        </row>
        <row r="207">
          <cell r="A207">
            <v>46311</v>
          </cell>
          <cell r="G207">
            <v>4</v>
          </cell>
        </row>
        <row r="208">
          <cell r="A208">
            <v>46311</v>
          </cell>
          <cell r="G208">
            <v>7</v>
          </cell>
        </row>
        <row r="209">
          <cell r="A209">
            <v>46312</v>
          </cell>
          <cell r="G209">
            <v>1</v>
          </cell>
        </row>
        <row r="210">
          <cell r="A210">
            <v>46312</v>
          </cell>
          <cell r="G210">
            <v>1</v>
          </cell>
        </row>
        <row r="211">
          <cell r="A211">
            <v>46312</v>
          </cell>
          <cell r="G211">
            <v>1</v>
          </cell>
        </row>
        <row r="212">
          <cell r="A212">
            <v>46312</v>
          </cell>
          <cell r="G212">
            <v>1</v>
          </cell>
        </row>
        <row r="213">
          <cell r="A213">
            <v>46312</v>
          </cell>
          <cell r="G213">
            <v>2</v>
          </cell>
        </row>
        <row r="214">
          <cell r="A214">
            <v>46312</v>
          </cell>
          <cell r="G214">
            <v>2</v>
          </cell>
        </row>
        <row r="215">
          <cell r="A215">
            <v>46312</v>
          </cell>
          <cell r="G215">
            <v>2</v>
          </cell>
        </row>
        <row r="216">
          <cell r="A216">
            <v>46312</v>
          </cell>
          <cell r="G216">
            <v>2</v>
          </cell>
        </row>
        <row r="217">
          <cell r="A217">
            <v>46312</v>
          </cell>
          <cell r="G217">
            <v>5</v>
          </cell>
        </row>
        <row r="218">
          <cell r="A218">
            <v>46312</v>
          </cell>
          <cell r="G218">
            <v>4</v>
          </cell>
        </row>
        <row r="219">
          <cell r="A219">
            <v>46312</v>
          </cell>
          <cell r="G219">
            <v>7</v>
          </cell>
        </row>
        <row r="220">
          <cell r="A220">
            <v>46312</v>
          </cell>
          <cell r="G220">
            <v>6</v>
          </cell>
        </row>
        <row r="221">
          <cell r="A221">
            <v>46312</v>
          </cell>
          <cell r="G221">
            <v>1</v>
          </cell>
        </row>
        <row r="222">
          <cell r="A222">
            <v>46312</v>
          </cell>
          <cell r="G222">
            <v>8</v>
          </cell>
        </row>
        <row r="223">
          <cell r="A223">
            <v>46312</v>
          </cell>
          <cell r="G223">
            <v>1</v>
          </cell>
        </row>
        <row r="224">
          <cell r="A224">
            <v>46312</v>
          </cell>
          <cell r="G224">
            <v>3</v>
          </cell>
        </row>
        <row r="225">
          <cell r="A225">
            <v>46312</v>
          </cell>
          <cell r="G225">
            <v>8</v>
          </cell>
        </row>
        <row r="226">
          <cell r="A226">
            <v>46312</v>
          </cell>
          <cell r="G226">
            <v>7</v>
          </cell>
        </row>
        <row r="227">
          <cell r="A227">
            <v>46312</v>
          </cell>
          <cell r="G227">
            <v>4</v>
          </cell>
        </row>
        <row r="228">
          <cell r="A228">
            <v>46313</v>
          </cell>
          <cell r="G228">
            <v>1</v>
          </cell>
        </row>
        <row r="229">
          <cell r="A229">
            <v>46313</v>
          </cell>
          <cell r="G229">
            <v>16</v>
          </cell>
        </row>
        <row r="230">
          <cell r="A230">
            <v>46313</v>
          </cell>
          <cell r="G230">
            <v>4</v>
          </cell>
        </row>
        <row r="231">
          <cell r="A231">
            <v>46313</v>
          </cell>
          <cell r="G231">
            <v>1</v>
          </cell>
        </row>
        <row r="232">
          <cell r="A232">
            <v>46313</v>
          </cell>
          <cell r="G232">
            <v>6</v>
          </cell>
        </row>
        <row r="233">
          <cell r="A233">
            <v>46313</v>
          </cell>
          <cell r="G233">
            <v>6</v>
          </cell>
        </row>
        <row r="234">
          <cell r="A234">
            <v>46313</v>
          </cell>
          <cell r="G234">
            <v>16</v>
          </cell>
        </row>
        <row r="235">
          <cell r="A235">
            <v>46313</v>
          </cell>
          <cell r="G235">
            <v>10</v>
          </cell>
        </row>
        <row r="236">
          <cell r="A236">
            <v>46313</v>
          </cell>
          <cell r="G236">
            <v>7</v>
          </cell>
        </row>
        <row r="237">
          <cell r="A237">
            <v>46313</v>
          </cell>
          <cell r="G237">
            <v>4</v>
          </cell>
        </row>
        <row r="238">
          <cell r="A238">
            <v>46313</v>
          </cell>
          <cell r="G238">
            <v>5</v>
          </cell>
        </row>
        <row r="239">
          <cell r="A239">
            <v>46313</v>
          </cell>
          <cell r="G239">
            <v>6</v>
          </cell>
        </row>
        <row r="240">
          <cell r="A240">
            <v>46314</v>
          </cell>
          <cell r="G240">
            <v>2</v>
          </cell>
        </row>
        <row r="241">
          <cell r="A241">
            <v>46314</v>
          </cell>
          <cell r="G241">
            <v>1</v>
          </cell>
        </row>
        <row r="242">
          <cell r="A242">
            <v>46314</v>
          </cell>
          <cell r="G242">
            <v>1</v>
          </cell>
        </row>
        <row r="243">
          <cell r="A243">
            <v>46314</v>
          </cell>
          <cell r="G243">
            <v>7</v>
          </cell>
        </row>
        <row r="244">
          <cell r="A244">
            <v>46314</v>
          </cell>
          <cell r="G244">
            <v>4</v>
          </cell>
        </row>
        <row r="245">
          <cell r="A245">
            <v>46314</v>
          </cell>
          <cell r="G245">
            <v>1</v>
          </cell>
        </row>
        <row r="246">
          <cell r="A246">
            <v>46314</v>
          </cell>
          <cell r="G246">
            <v>6</v>
          </cell>
        </row>
        <row r="247">
          <cell r="A247">
            <v>46314</v>
          </cell>
          <cell r="G247">
            <v>1</v>
          </cell>
        </row>
        <row r="248">
          <cell r="A248">
            <v>46314</v>
          </cell>
          <cell r="G248">
            <v>7</v>
          </cell>
        </row>
        <row r="249">
          <cell r="A249">
            <v>46314</v>
          </cell>
          <cell r="G249">
            <v>7</v>
          </cell>
        </row>
        <row r="250">
          <cell r="A250">
            <v>46314</v>
          </cell>
          <cell r="G250">
            <v>6</v>
          </cell>
        </row>
        <row r="251">
          <cell r="A251">
            <v>46315</v>
          </cell>
          <cell r="G251">
            <v>1</v>
          </cell>
        </row>
        <row r="252">
          <cell r="A252">
            <v>46315</v>
          </cell>
          <cell r="G252">
            <v>1</v>
          </cell>
        </row>
        <row r="253">
          <cell r="A253">
            <v>46315</v>
          </cell>
          <cell r="G253">
            <v>1</v>
          </cell>
        </row>
        <row r="254">
          <cell r="A254">
            <v>46315</v>
          </cell>
          <cell r="G254">
            <v>4</v>
          </cell>
        </row>
        <row r="255">
          <cell r="A255">
            <v>46315</v>
          </cell>
          <cell r="G255">
            <v>8</v>
          </cell>
        </row>
        <row r="256">
          <cell r="A256">
            <v>46315</v>
          </cell>
          <cell r="G256">
            <v>4</v>
          </cell>
        </row>
        <row r="257">
          <cell r="A257">
            <v>46315</v>
          </cell>
          <cell r="G257">
            <v>1</v>
          </cell>
        </row>
        <row r="258">
          <cell r="A258">
            <v>46315</v>
          </cell>
          <cell r="G258">
            <v>2</v>
          </cell>
        </row>
        <row r="259">
          <cell r="A259">
            <v>46315</v>
          </cell>
          <cell r="G259">
            <v>7</v>
          </cell>
        </row>
        <row r="260">
          <cell r="A260">
            <v>46315</v>
          </cell>
          <cell r="G260">
            <v>4</v>
          </cell>
        </row>
        <row r="261">
          <cell r="A261">
            <v>46315</v>
          </cell>
          <cell r="G261">
            <v>3</v>
          </cell>
        </row>
        <row r="262">
          <cell r="A262">
            <v>46316</v>
          </cell>
          <cell r="G262">
            <v>4</v>
          </cell>
        </row>
        <row r="263">
          <cell r="A263">
            <v>46316</v>
          </cell>
          <cell r="G263">
            <v>1</v>
          </cell>
        </row>
        <row r="264">
          <cell r="A264">
            <v>46316</v>
          </cell>
          <cell r="G264">
            <v>1</v>
          </cell>
        </row>
        <row r="265">
          <cell r="A265">
            <v>46316</v>
          </cell>
          <cell r="G265">
            <v>3</v>
          </cell>
        </row>
        <row r="266">
          <cell r="A266">
            <v>46316</v>
          </cell>
          <cell r="G266">
            <v>1</v>
          </cell>
        </row>
        <row r="267">
          <cell r="A267">
            <v>46316</v>
          </cell>
          <cell r="G267">
            <v>1</v>
          </cell>
        </row>
        <row r="268">
          <cell r="A268">
            <v>46316</v>
          </cell>
          <cell r="G268">
            <v>6</v>
          </cell>
        </row>
        <row r="269">
          <cell r="A269">
            <v>46316</v>
          </cell>
          <cell r="G269">
            <v>7</v>
          </cell>
        </row>
        <row r="270">
          <cell r="A270">
            <v>46316</v>
          </cell>
          <cell r="G270">
            <v>1</v>
          </cell>
        </row>
        <row r="271">
          <cell r="A271">
            <v>46316</v>
          </cell>
          <cell r="G271">
            <v>4</v>
          </cell>
        </row>
        <row r="272">
          <cell r="A272">
            <v>46316</v>
          </cell>
          <cell r="G272">
            <v>5</v>
          </cell>
        </row>
        <row r="273">
          <cell r="A273">
            <v>46316</v>
          </cell>
          <cell r="G273">
            <v>1</v>
          </cell>
        </row>
        <row r="274">
          <cell r="A274">
            <v>46317</v>
          </cell>
          <cell r="G274">
            <v>5</v>
          </cell>
        </row>
        <row r="275">
          <cell r="A275">
            <v>46317</v>
          </cell>
          <cell r="G275">
            <v>1</v>
          </cell>
        </row>
        <row r="276">
          <cell r="A276">
            <v>46317</v>
          </cell>
          <cell r="G276">
            <v>8</v>
          </cell>
        </row>
        <row r="277">
          <cell r="A277">
            <v>46317</v>
          </cell>
          <cell r="G277">
            <v>3</v>
          </cell>
        </row>
        <row r="278">
          <cell r="A278">
            <v>46317</v>
          </cell>
          <cell r="G278">
            <v>6</v>
          </cell>
        </row>
        <row r="279">
          <cell r="A279">
            <v>46318</v>
          </cell>
          <cell r="G279">
            <v>1</v>
          </cell>
        </row>
        <row r="280">
          <cell r="A280">
            <v>46318</v>
          </cell>
          <cell r="G280">
            <v>1</v>
          </cell>
        </row>
        <row r="281">
          <cell r="A281">
            <v>46318</v>
          </cell>
          <cell r="G281">
            <v>1</v>
          </cell>
        </row>
        <row r="282">
          <cell r="A282">
            <v>46318</v>
          </cell>
          <cell r="G282">
            <v>1</v>
          </cell>
        </row>
        <row r="283">
          <cell r="A283">
            <v>46318</v>
          </cell>
          <cell r="G283">
            <v>3</v>
          </cell>
        </row>
        <row r="284">
          <cell r="A284">
            <v>46318</v>
          </cell>
          <cell r="G284">
            <v>3</v>
          </cell>
        </row>
        <row r="285">
          <cell r="A285">
            <v>46318</v>
          </cell>
          <cell r="G285">
            <v>1</v>
          </cell>
        </row>
        <row r="286">
          <cell r="A286">
            <v>46318</v>
          </cell>
          <cell r="G286">
            <v>6</v>
          </cell>
        </row>
        <row r="287">
          <cell r="A287">
            <v>46318</v>
          </cell>
          <cell r="G287">
            <v>1</v>
          </cell>
        </row>
        <row r="288">
          <cell r="A288">
            <v>46318</v>
          </cell>
          <cell r="G288">
            <v>4</v>
          </cell>
        </row>
        <row r="289">
          <cell r="A289">
            <v>46318</v>
          </cell>
          <cell r="G289">
            <v>7</v>
          </cell>
        </row>
        <row r="290">
          <cell r="A290">
            <v>46319</v>
          </cell>
          <cell r="G290">
            <v>1</v>
          </cell>
        </row>
        <row r="291">
          <cell r="A291">
            <v>46319</v>
          </cell>
          <cell r="G291">
            <v>1</v>
          </cell>
        </row>
        <row r="292">
          <cell r="A292">
            <v>46319</v>
          </cell>
          <cell r="G292">
            <v>1</v>
          </cell>
        </row>
        <row r="293">
          <cell r="A293">
            <v>46319</v>
          </cell>
          <cell r="G293">
            <v>3</v>
          </cell>
        </row>
        <row r="294">
          <cell r="A294">
            <v>46319</v>
          </cell>
          <cell r="G294">
            <v>7</v>
          </cell>
        </row>
        <row r="295">
          <cell r="A295">
            <v>46319</v>
          </cell>
          <cell r="G295">
            <v>4</v>
          </cell>
        </row>
        <row r="296">
          <cell r="A296">
            <v>46319</v>
          </cell>
          <cell r="G296">
            <v>1</v>
          </cell>
        </row>
        <row r="297">
          <cell r="A297">
            <v>46319</v>
          </cell>
          <cell r="G297">
            <v>8</v>
          </cell>
        </row>
        <row r="298">
          <cell r="A298">
            <v>46319</v>
          </cell>
          <cell r="G298">
            <v>1</v>
          </cell>
        </row>
        <row r="299">
          <cell r="A299">
            <v>46319</v>
          </cell>
          <cell r="G299">
            <v>3</v>
          </cell>
        </row>
        <row r="300">
          <cell r="A300">
            <v>46319</v>
          </cell>
          <cell r="G300">
            <v>8</v>
          </cell>
        </row>
        <row r="301">
          <cell r="A301">
            <v>46319</v>
          </cell>
          <cell r="G301">
            <v>5</v>
          </cell>
        </row>
        <row r="302">
          <cell r="A302">
            <v>46319</v>
          </cell>
          <cell r="G302">
            <v>4</v>
          </cell>
        </row>
        <row r="303">
          <cell r="A303">
            <v>46320</v>
          </cell>
          <cell r="G303">
            <v>1</v>
          </cell>
        </row>
        <row r="304">
          <cell r="A304">
            <v>46320</v>
          </cell>
          <cell r="G304">
            <v>9</v>
          </cell>
        </row>
        <row r="305">
          <cell r="A305">
            <v>46320</v>
          </cell>
          <cell r="G305">
            <v>2</v>
          </cell>
        </row>
        <row r="306">
          <cell r="A306">
            <v>46320</v>
          </cell>
          <cell r="G306">
            <v>1</v>
          </cell>
        </row>
        <row r="307">
          <cell r="A307">
            <v>46320</v>
          </cell>
          <cell r="G307">
            <v>5</v>
          </cell>
        </row>
        <row r="308">
          <cell r="A308">
            <v>46320</v>
          </cell>
          <cell r="G308">
            <v>6</v>
          </cell>
        </row>
        <row r="309">
          <cell r="A309">
            <v>46320</v>
          </cell>
          <cell r="G309">
            <v>7</v>
          </cell>
        </row>
        <row r="310">
          <cell r="A310">
            <v>46320</v>
          </cell>
          <cell r="G310">
            <v>8</v>
          </cell>
        </row>
        <row r="311">
          <cell r="A311">
            <v>46320</v>
          </cell>
          <cell r="G311">
            <v>5</v>
          </cell>
        </row>
        <row r="312">
          <cell r="A312">
            <v>46320</v>
          </cell>
          <cell r="G312">
            <v>4</v>
          </cell>
        </row>
        <row r="313">
          <cell r="A313">
            <v>46320</v>
          </cell>
          <cell r="G313">
            <v>5</v>
          </cell>
        </row>
        <row r="314">
          <cell r="A314">
            <v>46320</v>
          </cell>
          <cell r="G314">
            <v>5</v>
          </cell>
        </row>
        <row r="315">
          <cell r="A315">
            <v>46321</v>
          </cell>
          <cell r="G315">
            <v>1</v>
          </cell>
        </row>
        <row r="316">
          <cell r="A316">
            <v>46321</v>
          </cell>
          <cell r="G316">
            <v>1</v>
          </cell>
        </row>
        <row r="317">
          <cell r="A317">
            <v>46321</v>
          </cell>
          <cell r="G317">
            <v>2</v>
          </cell>
        </row>
        <row r="318">
          <cell r="A318">
            <v>46321</v>
          </cell>
          <cell r="G318">
            <v>4</v>
          </cell>
        </row>
        <row r="319">
          <cell r="A319">
            <v>46321</v>
          </cell>
          <cell r="G319">
            <v>3</v>
          </cell>
        </row>
        <row r="320">
          <cell r="A320">
            <v>46321</v>
          </cell>
          <cell r="G320">
            <v>5</v>
          </cell>
        </row>
        <row r="321">
          <cell r="A321">
            <v>46321</v>
          </cell>
          <cell r="G321">
            <v>6</v>
          </cell>
        </row>
        <row r="322">
          <cell r="A322">
            <v>46321</v>
          </cell>
          <cell r="G322">
            <v>4</v>
          </cell>
        </row>
        <row r="323">
          <cell r="A323">
            <v>46321</v>
          </cell>
          <cell r="G323">
            <v>4</v>
          </cell>
        </row>
        <row r="324">
          <cell r="A324">
            <v>46322</v>
          </cell>
          <cell r="G324">
            <v>1</v>
          </cell>
        </row>
        <row r="325">
          <cell r="A325">
            <v>46322</v>
          </cell>
          <cell r="G325">
            <v>4</v>
          </cell>
        </row>
        <row r="326">
          <cell r="A326">
            <v>46322</v>
          </cell>
          <cell r="G326">
            <v>5</v>
          </cell>
        </row>
        <row r="327">
          <cell r="A327">
            <v>46322</v>
          </cell>
          <cell r="G327">
            <v>3</v>
          </cell>
        </row>
        <row r="328">
          <cell r="A328">
            <v>46322</v>
          </cell>
          <cell r="G328">
            <v>2</v>
          </cell>
        </row>
        <row r="329">
          <cell r="A329">
            <v>46322</v>
          </cell>
          <cell r="G329">
            <v>6</v>
          </cell>
        </row>
        <row r="330">
          <cell r="A330">
            <v>46322</v>
          </cell>
          <cell r="G330">
            <v>4</v>
          </cell>
        </row>
        <row r="331">
          <cell r="A331">
            <v>46322</v>
          </cell>
          <cell r="G331">
            <v>1</v>
          </cell>
        </row>
        <row r="332">
          <cell r="A332">
            <v>46323</v>
          </cell>
          <cell r="G332">
            <v>2</v>
          </cell>
        </row>
        <row r="333">
          <cell r="A333">
            <v>46323</v>
          </cell>
          <cell r="G333">
            <v>1</v>
          </cell>
        </row>
        <row r="334">
          <cell r="A334">
            <v>46323</v>
          </cell>
          <cell r="G334">
            <v>1</v>
          </cell>
        </row>
        <row r="335">
          <cell r="A335">
            <v>46323</v>
          </cell>
          <cell r="G335">
            <v>4</v>
          </cell>
        </row>
        <row r="336">
          <cell r="A336">
            <v>46323</v>
          </cell>
          <cell r="G336">
            <v>1</v>
          </cell>
        </row>
        <row r="337">
          <cell r="A337">
            <v>46323</v>
          </cell>
          <cell r="G337">
            <v>1</v>
          </cell>
        </row>
        <row r="338">
          <cell r="A338">
            <v>46323</v>
          </cell>
          <cell r="G338">
            <v>4</v>
          </cell>
        </row>
        <row r="339">
          <cell r="A339">
            <v>46323</v>
          </cell>
          <cell r="G339">
            <v>1</v>
          </cell>
        </row>
        <row r="340">
          <cell r="A340">
            <v>46323</v>
          </cell>
          <cell r="G340">
            <v>1</v>
          </cell>
        </row>
        <row r="341">
          <cell r="A341">
            <v>46323</v>
          </cell>
          <cell r="G341">
            <v>4</v>
          </cell>
        </row>
        <row r="342">
          <cell r="A342">
            <v>46323</v>
          </cell>
          <cell r="G342">
            <v>5</v>
          </cell>
        </row>
        <row r="343">
          <cell r="A343">
            <v>46324</v>
          </cell>
          <cell r="G343">
            <v>2</v>
          </cell>
        </row>
        <row r="344">
          <cell r="A344">
            <v>46324</v>
          </cell>
          <cell r="G344">
            <v>1</v>
          </cell>
        </row>
        <row r="345">
          <cell r="A345">
            <v>46324</v>
          </cell>
          <cell r="G345">
            <v>8</v>
          </cell>
        </row>
        <row r="346">
          <cell r="A346">
            <v>46324</v>
          </cell>
          <cell r="G346">
            <v>1</v>
          </cell>
        </row>
        <row r="347">
          <cell r="A347">
            <v>46324</v>
          </cell>
          <cell r="G347">
            <v>6</v>
          </cell>
        </row>
        <row r="348">
          <cell r="A348">
            <v>46324</v>
          </cell>
          <cell r="G348">
            <v>4</v>
          </cell>
        </row>
        <row r="349">
          <cell r="A349">
            <v>46324</v>
          </cell>
          <cell r="G349">
            <v>1</v>
          </cell>
        </row>
        <row r="350">
          <cell r="A350">
            <v>46325</v>
          </cell>
          <cell r="G350">
            <v>1</v>
          </cell>
        </row>
        <row r="351">
          <cell r="A351">
            <v>46325</v>
          </cell>
          <cell r="G351">
            <v>1</v>
          </cell>
        </row>
        <row r="352">
          <cell r="A352">
            <v>46325</v>
          </cell>
          <cell r="G352">
            <v>4</v>
          </cell>
        </row>
        <row r="353">
          <cell r="A353">
            <v>46325</v>
          </cell>
          <cell r="G353">
            <v>1</v>
          </cell>
        </row>
        <row r="354">
          <cell r="A354">
            <v>46325</v>
          </cell>
          <cell r="G354">
            <v>4</v>
          </cell>
        </row>
        <row r="355">
          <cell r="A355">
            <v>46325</v>
          </cell>
          <cell r="G355">
            <v>1</v>
          </cell>
        </row>
        <row r="356">
          <cell r="A356">
            <v>46325</v>
          </cell>
          <cell r="G356">
            <v>3</v>
          </cell>
        </row>
        <row r="357">
          <cell r="A357">
            <v>46325</v>
          </cell>
          <cell r="G357">
            <v>1</v>
          </cell>
        </row>
        <row r="358">
          <cell r="A358">
            <v>46325</v>
          </cell>
          <cell r="G358">
            <v>3</v>
          </cell>
        </row>
        <row r="359">
          <cell r="A359">
            <v>46325</v>
          </cell>
          <cell r="G359">
            <v>2</v>
          </cell>
        </row>
        <row r="360">
          <cell r="A360">
            <v>46325</v>
          </cell>
          <cell r="G360">
            <v>8</v>
          </cell>
        </row>
        <row r="361">
          <cell r="A361">
            <v>46326</v>
          </cell>
          <cell r="G361">
            <v>1</v>
          </cell>
        </row>
        <row r="362">
          <cell r="A362">
            <v>46326</v>
          </cell>
          <cell r="G362">
            <v>1</v>
          </cell>
        </row>
        <row r="363">
          <cell r="A363">
            <v>46326</v>
          </cell>
          <cell r="G363">
            <v>1</v>
          </cell>
        </row>
        <row r="364">
          <cell r="A364">
            <v>46326</v>
          </cell>
          <cell r="G364">
            <v>2</v>
          </cell>
        </row>
        <row r="365">
          <cell r="A365">
            <v>46326</v>
          </cell>
          <cell r="G365">
            <v>2</v>
          </cell>
        </row>
        <row r="366">
          <cell r="A366">
            <v>46326</v>
          </cell>
          <cell r="G366">
            <v>2</v>
          </cell>
        </row>
        <row r="367">
          <cell r="A367">
            <v>46326</v>
          </cell>
          <cell r="G367">
            <v>5</v>
          </cell>
        </row>
        <row r="368">
          <cell r="A368">
            <v>46326</v>
          </cell>
          <cell r="G368">
            <v>4</v>
          </cell>
        </row>
        <row r="369">
          <cell r="A369">
            <v>46326</v>
          </cell>
          <cell r="G369">
            <v>6</v>
          </cell>
        </row>
        <row r="370">
          <cell r="A370">
            <v>46326</v>
          </cell>
          <cell r="G370">
            <v>5</v>
          </cell>
        </row>
        <row r="371">
          <cell r="A371">
            <v>46326</v>
          </cell>
          <cell r="G371">
            <v>1</v>
          </cell>
        </row>
        <row r="372">
          <cell r="A372">
            <v>46326</v>
          </cell>
          <cell r="G372">
            <v>8</v>
          </cell>
        </row>
        <row r="373">
          <cell r="A373">
            <v>46326</v>
          </cell>
          <cell r="G373">
            <v>2</v>
          </cell>
        </row>
        <row r="374">
          <cell r="A374">
            <v>46326</v>
          </cell>
          <cell r="G374">
            <v>7</v>
          </cell>
        </row>
      </sheetData>
      <sheetData sheetId="2"/>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
  <sheetViews>
    <sheetView topLeftCell="B1" workbookViewId="0">
      <pane ySplit="1" topLeftCell="A2" activePane="bottomLeft" state="frozen"/>
      <selection pane="bottomLeft" activeCell="N8" sqref="N8"/>
    </sheetView>
  </sheetViews>
  <sheetFormatPr baseColWidth="8" defaultRowHeight="13.2"/>
  <cols>
    <col width="20" bestFit="1" customWidth="1" min="1" max="1"/>
    <col width="7" bestFit="1" customWidth="1" min="2" max="2"/>
    <col width="20" bestFit="1" customWidth="1" style="1" min="3" max="3"/>
    <col width="20" bestFit="1" customWidth="1" min="6" max="6"/>
    <col width="12.88671875" bestFit="1" customWidth="1" min="7" max="7"/>
  </cols>
  <sheetData>
    <row r="1" ht="15" customHeight="1">
      <c r="A1" s="4" t="inlineStr">
        <is>
          <t>Batches</t>
        </is>
      </c>
      <c r="B1" s="4" t="inlineStr">
        <is>
          <t>Symbol</t>
        </is>
      </c>
      <c r="C1" s="5" t="inlineStr">
        <is>
          <t>number of Students in the batch</t>
        </is>
      </c>
      <c r="D1" s="6" t="inlineStr">
        <is>
          <t>Coach</t>
        </is>
      </c>
      <c r="E1" s="7" t="n"/>
      <c r="F1" s="4" t="inlineStr">
        <is>
          <t>Student Level</t>
        </is>
      </c>
      <c r="G1" s="4" t="inlineStr">
        <is>
          <t>Group Number</t>
        </is>
      </c>
      <c r="H1" s="7" t="n"/>
      <c r="I1" s="8" t="inlineStr">
        <is>
          <t>Academy Rules</t>
        </is>
      </c>
      <c r="J1" s="7" t="n"/>
      <c r="K1" s="7" t="n"/>
      <c r="L1" s="7" t="n"/>
      <c r="M1" s="7" t="n"/>
      <c r="N1" s="7" t="n"/>
      <c r="O1" s="7" t="n"/>
      <c r="P1" s="7" t="n"/>
      <c r="Q1" s="7" t="n"/>
      <c r="R1" s="7" t="n"/>
      <c r="S1" s="7" t="n"/>
    </row>
    <row r="2" ht="15" customHeight="1">
      <c r="A2" s="4" t="inlineStr">
        <is>
          <t>Group Batch</t>
        </is>
      </c>
      <c r="B2" s="4" t="inlineStr">
        <is>
          <t>G</t>
        </is>
      </c>
      <c r="C2" s="5" t="n">
        <v>8</v>
      </c>
      <c r="D2" s="4" t="n">
        <v>1</v>
      </c>
      <c r="E2" s="7" t="n"/>
      <c r="F2" s="4" t="inlineStr">
        <is>
          <t>Basic1</t>
        </is>
      </c>
      <c r="G2" s="4" t="n">
        <v>1</v>
      </c>
      <c r="H2" s="7" t="n"/>
      <c r="I2" s="7" t="n"/>
      <c r="J2" s="7" t="n"/>
      <c r="K2" s="7" t="n"/>
      <c r="L2" s="7" t="n"/>
      <c r="M2" s="7" t="n"/>
      <c r="N2" s="7" t="n"/>
      <c r="O2" s="7" t="n"/>
      <c r="P2" s="7" t="n"/>
      <c r="Q2" s="7" t="n"/>
      <c r="R2" s="7" t="n"/>
      <c r="S2" s="7" t="n"/>
    </row>
    <row r="3" ht="30" customHeight="1">
      <c r="A3" s="4" t="inlineStr">
        <is>
          <t>Limited Students Batch</t>
        </is>
      </c>
      <c r="B3" s="4" t="inlineStr">
        <is>
          <t>L</t>
        </is>
      </c>
      <c r="C3" s="5" t="inlineStr">
        <is>
          <t>1 to 3</t>
        </is>
      </c>
      <c r="D3" s="4" t="n">
        <v>1</v>
      </c>
      <c r="E3" s="7" t="n"/>
      <c r="F3" s="4" t="inlineStr">
        <is>
          <t>Basic2</t>
        </is>
      </c>
      <c r="G3" s="4" t="n">
        <v>2</v>
      </c>
      <c r="H3" s="7" t="n"/>
      <c r="I3" s="9" t="inlineStr">
        <is>
          <t xml:space="preserve">Academy Scheduling Rules </t>
        </is>
      </c>
      <c r="J3" s="7" t="n"/>
      <c r="K3" s="7" t="n"/>
      <c r="L3" s="7" t="n"/>
      <c r="M3" s="7" t="n"/>
      <c r="N3" s="7" t="n"/>
      <c r="O3" s="7" t="n"/>
      <c r="P3" s="7" t="n"/>
      <c r="Q3" s="7" t="n"/>
      <c r="R3" s="7" t="n"/>
      <c r="S3" s="7" t="n"/>
    </row>
    <row r="4" ht="15" customHeight="1">
      <c r="A4" s="4" t="inlineStr">
        <is>
          <t>Individual Batch</t>
        </is>
      </c>
      <c r="B4" s="4" t="inlineStr">
        <is>
          <t>I</t>
        </is>
      </c>
      <c r="C4" s="5" t="n">
        <v>1</v>
      </c>
      <c r="D4" s="4" t="n">
        <v>1</v>
      </c>
      <c r="E4" s="7" t="n"/>
      <c r="F4" s="4" t="inlineStr">
        <is>
          <t>Beginner1</t>
        </is>
      </c>
      <c r="G4" s="4" t="n">
        <v>3</v>
      </c>
      <c r="H4" s="7" t="n"/>
      <c r="I4" s="7" t="n"/>
      <c r="J4" s="7" t="n"/>
      <c r="K4" s="7" t="n"/>
      <c r="L4" s="10" t="n"/>
      <c r="M4" s="10" t="n"/>
      <c r="N4" s="10" t="n"/>
      <c r="O4" s="10" t="n"/>
      <c r="P4" s="10" t="n"/>
      <c r="Q4" s="10" t="n"/>
      <c r="R4" s="10" t="n"/>
      <c r="S4" s="10" t="n"/>
    </row>
    <row r="5" ht="15" customHeight="1">
      <c r="A5" s="7" t="n"/>
      <c r="B5" s="7" t="n"/>
      <c r="C5" s="7" t="n"/>
      <c r="D5" s="7" t="n"/>
      <c r="E5" s="7" t="n"/>
      <c r="F5" s="4" t="inlineStr">
        <is>
          <t>Beginner2</t>
        </is>
      </c>
      <c r="G5" s="4" t="n">
        <v>4</v>
      </c>
      <c r="H5" s="7" t="n"/>
      <c r="I5" s="7" t="n"/>
      <c r="J5" s="7" t="n"/>
      <c r="K5" s="7" t="n"/>
      <c r="L5" s="7" t="n"/>
      <c r="M5" s="7" t="n"/>
      <c r="N5" s="7" t="n"/>
      <c r="O5" s="7" t="n"/>
      <c r="P5" s="7" t="n"/>
      <c r="Q5" s="7" t="n"/>
      <c r="R5" s="7" t="n"/>
      <c r="S5" s="7" t="n"/>
    </row>
    <row r="6" ht="15" customHeight="1">
      <c r="A6" s="7" t="n"/>
      <c r="B6" s="7" t="n"/>
      <c r="C6" s="7" t="n"/>
      <c r="D6" s="7" t="n"/>
      <c r="E6" s="7" t="n"/>
      <c r="F6" s="4" t="inlineStr">
        <is>
          <t>Early Intermediate1</t>
        </is>
      </c>
      <c r="G6" s="4" t="n">
        <v>5</v>
      </c>
      <c r="H6" s="7" t="n"/>
      <c r="I6" s="7" t="n"/>
      <c r="J6" s="7" t="n"/>
      <c r="K6" s="7" t="n"/>
      <c r="L6" s="7" t="n"/>
      <c r="M6" s="7" t="n"/>
      <c r="N6" s="7" t="n"/>
      <c r="O6" s="7" t="n"/>
      <c r="P6" s="7" t="n"/>
      <c r="Q6" s="7" t="n"/>
      <c r="R6" s="7" t="n"/>
      <c r="S6" s="7" t="n"/>
    </row>
    <row r="7" ht="26.4" customHeight="1">
      <c r="A7" s="7" t="n"/>
      <c r="B7" s="7" t="n"/>
      <c r="C7" s="7" t="n"/>
      <c r="D7" s="7" t="n"/>
      <c r="E7" s="7" t="n"/>
      <c r="F7" s="4" t="inlineStr">
        <is>
          <t>Early Intermediate2</t>
        </is>
      </c>
      <c r="G7" s="4" t="n">
        <v>6</v>
      </c>
      <c r="H7" s="7" t="n"/>
      <c r="I7" s="11" t="inlineStr">
        <is>
          <t>No.</t>
        </is>
      </c>
      <c r="J7" s="11" t="inlineStr">
        <is>
          <t>Academy Rule</t>
        </is>
      </c>
      <c r="K7" s="11" t="inlineStr">
        <is>
          <t>Description</t>
        </is>
      </c>
      <c r="L7" s="7" t="n"/>
      <c r="M7" s="7" t="n"/>
      <c r="N7" s="7" t="n"/>
      <c r="O7" s="7" t="n"/>
      <c r="P7" s="7" t="n"/>
      <c r="Q7" s="7" t="n"/>
      <c r="R7" s="7" t="n"/>
      <c r="S7" s="7" t="n"/>
    </row>
    <row r="8" ht="30" customHeight="1">
      <c r="A8" s="7" t="n"/>
      <c r="B8" s="7" t="n"/>
      <c r="C8" s="7" t="n"/>
      <c r="D8" s="7" t="n"/>
      <c r="E8" s="7" t="n"/>
      <c r="F8" s="6" t="inlineStr">
        <is>
          <t>Intermediate1</t>
        </is>
      </c>
      <c r="G8" s="4" t="n">
        <v>7</v>
      </c>
      <c r="H8" s="7" t="n"/>
      <c r="I8" s="7" t="n">
        <v>1</v>
      </c>
      <c r="J8" s="7" t="inlineStr">
        <is>
          <t>Trainer Availability</t>
        </is>
      </c>
      <c r="K8" s="7" t="inlineStr">
        <is>
          <t>Each trainer can handle only one batch at a time. Overlapping trainer schedules are strictly prohibited.</t>
        </is>
      </c>
      <c r="L8" s="7" t="n"/>
      <c r="M8" s="7" t="n"/>
      <c r="N8" s="7" t="n"/>
      <c r="O8" s="7" t="n"/>
      <c r="P8" s="7" t="n"/>
      <c r="Q8" s="7" t="n"/>
      <c r="R8" s="7" t="n"/>
      <c r="S8" s="7" t="n"/>
    </row>
    <row r="9" ht="30" customHeight="1">
      <c r="A9" s="7" t="n"/>
      <c r="B9" s="7" t="n"/>
      <c r="C9" s="7" t="n"/>
      <c r="D9" s="7" t="n"/>
      <c r="E9" s="7" t="n"/>
      <c r="F9" s="6" t="inlineStr">
        <is>
          <t>Intermediate2</t>
        </is>
      </c>
      <c r="G9" s="4" t="n">
        <v>8</v>
      </c>
      <c r="H9" s="7" t="n"/>
      <c r="I9" s="7" t="n">
        <v>2</v>
      </c>
      <c r="J9" s="7" t="inlineStr">
        <is>
          <t>Sunday Working Hours</t>
        </is>
      </c>
      <c r="K9" s="7" t="inlineStr">
        <is>
          <t>The academy operates from 9:00 AM to 2:30 PM on Sundays. All Sunday sessions must be scheduled within this time frame.</t>
        </is>
      </c>
      <c r="L9" s="7" t="n"/>
      <c r="M9" s="7" t="n"/>
      <c r="N9" s="7" t="n"/>
      <c r="O9" s="7" t="n"/>
      <c r="P9" s="7" t="n"/>
      <c r="Q9" s="7" t="n"/>
      <c r="R9" s="7" t="n"/>
      <c r="S9" s="7" t="n"/>
    </row>
    <row r="10" ht="30" customHeight="1">
      <c r="A10" s="7" t="n"/>
      <c r="B10" s="7" t="n"/>
      <c r="C10" s="7" t="n"/>
      <c r="D10" s="7" t="n"/>
      <c r="E10" s="7" t="n"/>
      <c r="F10" s="7" t="n"/>
      <c r="G10" s="7" t="n"/>
      <c r="H10" s="7" t="n"/>
      <c r="I10" s="7" t="n">
        <v>3</v>
      </c>
      <c r="J10" s="7" t="inlineStr">
        <is>
          <t>Monthly Class Count</t>
        </is>
      </c>
      <c r="K10" s="7" t="inlineStr">
        <is>
          <t>Each student is entitled to 12 classes per month. Any Sunday session attended by a student counts as one of the 12 monthly classes and must be deducted from their remaining class count.</t>
        </is>
      </c>
      <c r="L10" s="7" t="n"/>
      <c r="M10" s="7" t="n"/>
      <c r="N10" s="7" t="n"/>
      <c r="O10" s="7" t="n"/>
      <c r="P10" s="7" t="n"/>
      <c r="Q10" s="7" t="n"/>
      <c r="R10" s="7" t="n"/>
      <c r="S10" s="7" t="n"/>
    </row>
    <row r="11" ht="30" customHeight="1">
      <c r="A11" s="7" t="n"/>
      <c r="B11" s="7" t="n"/>
      <c r="C11" s="7" t="n"/>
      <c r="D11" s="7" t="n"/>
      <c r="E11" s="7" t="n"/>
      <c r="F11" s="7" t="n"/>
      <c r="G11" s="7" t="n"/>
      <c r="H11" s="7" t="n"/>
      <c r="I11" s="7" t="n">
        <v>4</v>
      </c>
      <c r="J11" s="7" t="inlineStr">
        <is>
          <t>Tournament Trainer Preference</t>
        </is>
      </c>
      <c r="K11" s="7" t="inlineStr">
        <is>
          <t>Give lower priority to Dhaanush and Saravanan when assigning trainers for Sunday tournaments. Prefer other available trainers whenever possible.</t>
        </is>
      </c>
      <c r="L11" s="7" t="n"/>
      <c r="M11" s="7" t="n"/>
      <c r="N11" s="7" t="n"/>
      <c r="O11" s="7" t="n"/>
      <c r="P11" s="7" t="n"/>
      <c r="Q11" s="7" t="n"/>
      <c r="R11" s="7" t="n"/>
      <c r="S11" s="7" t="n"/>
    </row>
    <row r="12" ht="30" customHeight="1">
      <c r="A12" s="7" t="n"/>
      <c r="B12" s="7" t="n"/>
      <c r="C12" s="7" t="n"/>
      <c r="D12" s="7" t="n"/>
      <c r="E12" s="7" t="n"/>
      <c r="F12" s="7" t="n"/>
      <c r="G12" s="7" t="n"/>
      <c r="H12" s="7" t="n"/>
      <c r="I12" s="7" t="n">
        <v>5</v>
      </c>
      <c r="J12" s="7" t="inlineStr">
        <is>
          <t>Intermediate 2 Scheduling</t>
        </is>
      </c>
      <c r="K12" s="7" t="inlineStr">
        <is>
          <t>Replicate the existing schedule and follow the previous scheduling pattern for Intermediate 2 students. On Sundays, retain their regular sessions as per the existing data. Do not introduce any separate tournament or class descriptions for these students.</t>
        </is>
      </c>
      <c r="L12" s="7" t="n"/>
      <c r="M12" s="7" t="n"/>
      <c r="N12" s="7" t="n"/>
      <c r="O12" s="7" t="n"/>
      <c r="P12" s="7" t="n"/>
      <c r="Q12" s="7" t="n"/>
      <c r="R12" s="7" t="n"/>
      <c r="S12" s="7" t="n"/>
    </row>
    <row r="13" ht="30" customHeight="1">
      <c r="A13" s="7" t="n"/>
      <c r="B13" s="7" t="n"/>
      <c r="C13" s="7" t="n"/>
      <c r="D13" s="7" t="n"/>
      <c r="E13" s="7" t="n"/>
      <c r="F13" s="7" t="n"/>
      <c r="G13" s="7" t="n"/>
      <c r="H13" s="7" t="n"/>
      <c r="I13" s="7" t="n">
        <v>6</v>
      </c>
      <c r="J13" s="7" t="inlineStr">
        <is>
          <t>Batch Optimization</t>
        </is>
      </c>
      <c r="K13" s="7" t="inlineStr">
        <is>
          <t>Maximize the number of students accommodated in Group and Limited batches while strictly adhering to their respective capacity limits and student eligibility rules. Avoid unnecessary empty seats and underfilled batches whenever possible.</t>
        </is>
      </c>
      <c r="L13" s="10" t="n"/>
      <c r="M13" s="10" t="n"/>
      <c r="N13" s="10" t="n"/>
      <c r="O13" s="10" t="n"/>
      <c r="P13" s="10" t="n"/>
      <c r="Q13" s="10" t="n"/>
      <c r="R13" s="7" t="n"/>
      <c r="S13" s="7" t="n"/>
    </row>
    <row r="14" ht="30" customHeight="1">
      <c r="A14" s="7" t="n"/>
      <c r="B14" s="7" t="n"/>
      <c r="C14" s="7" t="n"/>
      <c r="D14" s="7" t="n"/>
      <c r="E14" s="7" t="n"/>
      <c r="F14" s="7" t="n"/>
      <c r="G14" s="7" t="n"/>
      <c r="H14" s="7" t="n"/>
      <c r="I14" s="7" t="n">
        <v>7</v>
      </c>
      <c r="J14" s="7" t="inlineStr">
        <is>
          <t>Flexible Tournament Trainer Assignment</t>
        </is>
      </c>
      <c r="K14" s="7" t="inlineStr">
        <is>
          <t>Any available trainer can conduct a Sunday tournament for any eligible batch, provided there are no scheduling conflicts.</t>
        </is>
      </c>
      <c r="L14" s="10" t="n"/>
      <c r="M14" s="10" t="n"/>
      <c r="N14" s="10" t="n"/>
      <c r="O14" s="10" t="n"/>
      <c r="P14" s="10" t="n"/>
      <c r="Q14" s="10" t="n"/>
      <c r="R14" s="7" t="n"/>
      <c r="S14" s="7" t="n"/>
    </row>
    <row r="15" ht="30" customHeight="1">
      <c r="A15" s="7" t="n"/>
      <c r="B15" s="7" t="n"/>
      <c r="C15" s="7" t="n"/>
      <c r="D15" s="7" t="n"/>
      <c r="E15" s="7" t="n"/>
      <c r="F15" s="7" t="n"/>
      <c r="G15" s="7" t="n"/>
      <c r="H15" s="7" t="n"/>
      <c r="I15" s="7" t="n">
        <v>8</v>
      </c>
      <c r="J15" s="7" t="inlineStr">
        <is>
          <t>Limited Batch Slot Optimization</t>
        </is>
      </c>
      <c r="K15" s="7" t="inlineStr">
        <is>
          <t>If seats remain vacant in a Limited batch, eligible Group batch students may be accommodated in those slots, provided their availability and scheduling requirements are satisfied.</t>
        </is>
      </c>
      <c r="L15" s="7" t="n"/>
      <c r="M15" s="7" t="n"/>
      <c r="N15" s="7" t="n"/>
      <c r="O15" s="7" t="n"/>
      <c r="P15" s="7" t="n"/>
      <c r="Q15" s="7" t="n"/>
      <c r="R15" s="7" t="n"/>
      <c r="S15" s="7" t="n"/>
    </row>
    <row r="16" ht="30" customHeight="1">
      <c r="A16" s="7" t="n"/>
      <c r="B16" s="7" t="n"/>
      <c r="C16" s="7" t="n"/>
      <c r="D16" s="7" t="n"/>
      <c r="E16" s="7" t="n"/>
      <c r="F16" s="7" t="n"/>
      <c r="G16" s="7" t="n"/>
      <c r="H16" s="7" t="n"/>
      <c r="I16" s="7" t="n">
        <v>9</v>
      </c>
      <c r="J16" s="7" t="inlineStr">
        <is>
          <t>Individual Batch Sunday Sessions</t>
        </is>
      </c>
      <c r="K16" s="7" t="inlineStr">
        <is>
          <t>Individual batch students are not eligible for Sunday tournaments. Their Sunday sessions must be scheduled as regular classes.</t>
        </is>
      </c>
      <c r="L16" s="7" t="n"/>
      <c r="M16" s="7" t="n"/>
      <c r="N16" s="7" t="n"/>
      <c r="O16" s="7" t="n"/>
      <c r="P16" s="7" t="n"/>
      <c r="Q16" s="7" t="n"/>
      <c r="R16" s="7" t="n"/>
      <c r="S16" s="7" t="n"/>
    </row>
    <row r="17" ht="30" customHeight="1">
      <c r="A17" s="7" t="n"/>
      <c r="B17" s="7" t="n"/>
      <c r="C17" s="7" t="n"/>
      <c r="D17" s="7" t="n"/>
      <c r="E17" s="7" t="n"/>
      <c r="F17" s="7" t="n"/>
      <c r="G17" s="7" t="n"/>
      <c r="H17" s="7" t="n"/>
      <c r="I17" s="7" t="n">
        <v>10</v>
      </c>
      <c r="J17" s="7" t="inlineStr">
        <is>
          <t>Basic 1 and Basic 2 Separation</t>
        </is>
      </c>
      <c r="K17" s="7" t="inlineStr">
        <is>
          <t>Basic 1 and Basic 2 students must never be combined in the same batch.</t>
        </is>
      </c>
      <c r="L17" s="7" t="n"/>
      <c r="M17" s="7" t="n"/>
      <c r="N17" s="7" t="n"/>
      <c r="O17" s="7" t="n"/>
      <c r="P17" s="7" t="n"/>
      <c r="Q17" s="7" t="n"/>
      <c r="R17" s="7" t="n"/>
      <c r="S17" s="7" t="n"/>
    </row>
    <row r="18" ht="30" customHeight="1">
      <c r="A18" s="7" t="n"/>
      <c r="B18" s="7" t="n"/>
      <c r="C18" s="7" t="n"/>
      <c r="D18" s="7" t="n"/>
      <c r="E18" s="7" t="n"/>
      <c r="F18" s="7" t="n"/>
      <c r="G18" s="7" t="n"/>
      <c r="H18" s="7" t="n"/>
      <c r="I18" s="7" t="n">
        <v>11</v>
      </c>
      <c r="J18" s="7" t="inlineStr">
        <is>
          <t>Class Duration</t>
        </is>
      </c>
      <c r="K18" s="7" t="inlineStr">
        <is>
          <t>Every regular class must have a duration of exactly one hour.</t>
        </is>
      </c>
      <c r="L18" s="7" t="n"/>
      <c r="M18" s="7" t="n"/>
      <c r="N18" s="7" t="n"/>
      <c r="O18" s="7" t="n"/>
      <c r="P18" s="7" t="n"/>
      <c r="Q18" s="7" t="n"/>
      <c r="R18" s="7" t="n"/>
      <c r="S18" s="7" t="n"/>
    </row>
    <row r="19" ht="30" customHeight="1">
      <c r="A19" s="7" t="n"/>
      <c r="B19" s="7" t="n"/>
      <c r="C19" s="7" t="n"/>
      <c r="D19" s="7" t="n"/>
      <c r="E19" s="7" t="n"/>
      <c r="F19" s="7" t="n"/>
      <c r="G19" s="7" t="n"/>
      <c r="H19" s="7" t="n"/>
      <c r="I19" s="7" t="n">
        <v>12</v>
      </c>
      <c r="J19" s="7" t="inlineStr">
        <is>
          <t>Flexible Class Start Times</t>
        </is>
      </c>
      <c r="K19" s="7" t="inlineStr">
        <is>
          <t>Classes may start at any suitable time, including half-hour intervals (e.g., 4:30 PM), provided the schedule complies with academy working hours and trainer availability.</t>
        </is>
      </c>
      <c r="L19" s="7" t="n"/>
      <c r="M19" s="7" t="n"/>
      <c r="N19" s="7" t="n"/>
      <c r="O19" s="7" t="n"/>
      <c r="P19" s="7" t="n"/>
      <c r="Q19" s="7" t="n"/>
      <c r="R19" s="7" t="n"/>
      <c r="S19" s="7" t="n"/>
    </row>
    <row r="20" ht="30" customHeight="1">
      <c r="A20" s="7" t="n"/>
      <c r="B20" s="7" t="n"/>
      <c r="C20" s="7" t="n"/>
      <c r="D20" s="7" t="n"/>
      <c r="E20" s="7" t="n"/>
      <c r="F20" s="7" t="n"/>
      <c r="G20" s="7" t="n"/>
      <c r="H20" s="7" t="n"/>
      <c r="I20" s="7" t="n">
        <v>13</v>
      </c>
      <c r="J20" s="7" t="inlineStr">
        <is>
          <t>Limited Batch Capacity</t>
        </is>
      </c>
      <c r="K20" s="7" t="inlineStr">
        <is>
          <t>Each Limited batch can accommodate a maximum of 3 students.</t>
        </is>
      </c>
      <c r="L20" s="7" t="n"/>
      <c r="M20" s="7" t="n"/>
      <c r="N20" s="7" t="n"/>
      <c r="O20" s="7" t="n"/>
      <c r="P20" s="7" t="n"/>
      <c r="Q20" s="7" t="n"/>
      <c r="R20" s="7" t="n"/>
      <c r="S20" s="7" t="n"/>
    </row>
    <row r="21" ht="30" customHeight="1">
      <c r="A21" s="7" t="n"/>
      <c r="B21" s="7" t="n"/>
      <c r="C21" s="7" t="n"/>
      <c r="D21" s="7" t="n"/>
      <c r="E21" s="7" t="n"/>
      <c r="F21" s="7" t="n"/>
      <c r="G21" s="7" t="n"/>
      <c r="H21" s="7" t="n"/>
      <c r="I21" s="7" t="n">
        <v>14</v>
      </c>
      <c r="J21" s="7" t="inlineStr">
        <is>
          <t>Group Batch Capacity</t>
        </is>
      </c>
      <c r="K21" s="7" t="inlineStr">
        <is>
          <t>Each Group batch can accommodate a maximum of 8 students.</t>
        </is>
      </c>
      <c r="L21" s="7" t="n"/>
      <c r="M21" s="7" t="n"/>
      <c r="N21" s="7" t="n"/>
      <c r="O21" s="7" t="n"/>
      <c r="P21" s="7" t="n"/>
      <c r="Q21" s="7" t="n"/>
      <c r="R21" s="7" t="n"/>
      <c r="S21" s="7" t="n"/>
    </row>
    <row r="22" ht="30" customHeight="1">
      <c r="A22" s="7" t="n"/>
      <c r="B22" s="7" t="n"/>
      <c r="C22" s="7" t="n"/>
      <c r="D22" s="7" t="n"/>
      <c r="E22" s="7" t="n"/>
      <c r="F22" s="7" t="n"/>
      <c r="G22" s="7" t="n"/>
      <c r="H22" s="7" t="n"/>
      <c r="I22" s="7" t="n">
        <v>15</v>
      </c>
      <c r="J22" s="7" t="inlineStr">
        <is>
          <t>Sunday Tournament Capacity</t>
        </is>
      </c>
      <c r="K22" s="7" t="inlineStr">
        <is>
          <t>Each Sunday tournament batch can accommodate a maximum of 20 students.</t>
        </is>
      </c>
      <c r="L22" s="7" t="n"/>
      <c r="M22" s="7" t="n"/>
      <c r="N22" s="7" t="n"/>
      <c r="O22" s="7" t="n"/>
      <c r="P22" s="7" t="n"/>
      <c r="Q22" s="7" t="n"/>
      <c r="R22" s="7" t="n"/>
      <c r="S22" s="7" t="n"/>
    </row>
    <row r="23" ht="30" customHeight="1">
      <c r="A23" s="7" t="n"/>
      <c r="B23" s="7" t="n"/>
      <c r="C23" s="7" t="n"/>
      <c r="D23" s="7" t="n"/>
      <c r="E23" s="7" t="n"/>
      <c r="F23" s="7" t="n"/>
      <c r="G23" s="7" t="n"/>
      <c r="H23" s="7" t="n"/>
      <c r="I23" s="7" t="n">
        <v>16</v>
      </c>
      <c r="J23" s="7" t="inlineStr">
        <is>
          <t>Individual Batch Restrictions</t>
        </is>
      </c>
      <c r="K23" s="7" t="inlineStr">
        <is>
          <t>Each Individual batch must contain exactly one student. Combining students in an Individual batch is strictly prohibited.</t>
        </is>
      </c>
      <c r="L23" s="7" t="n"/>
      <c r="M23" s="7" t="n"/>
      <c r="N23" s="7" t="n"/>
      <c r="O23" s="7" t="n"/>
      <c r="P23" s="7" t="n"/>
      <c r="Q23" s="7" t="n"/>
      <c r="R23" s="7" t="n"/>
      <c r="S23" s="7" t="n"/>
    </row>
    <row r="24" ht="30" customHeight="1">
      <c r="A24" s="7" t="n"/>
      <c r="B24" s="7" t="n"/>
      <c r="C24" s="7" t="n"/>
      <c r="D24" s="7" t="n"/>
      <c r="E24" s="7" t="n"/>
      <c r="F24" s="7" t="n"/>
      <c r="G24" s="7" t="n"/>
      <c r="H24" s="7" t="n"/>
      <c r="I24" s="7" t="n">
        <v>17</v>
      </c>
      <c r="J24" s="7" t="inlineStr">
        <is>
          <t>Morning Batch Eligibility</t>
        </is>
      </c>
      <c r="K24" s="7" t="inlineStr">
        <is>
          <t>Morning classes must be scheduled exclusively for students whose morning availability is explicitly mentioned in the Student Preference Sheet. Do not assign other students to morning slots.</t>
        </is>
      </c>
      <c r="L24" s="7" t="n"/>
      <c r="M24" s="7" t="n"/>
      <c r="N24" s="7" t="n"/>
      <c r="O24" s="7" t="n"/>
      <c r="P24" s="7" t="n"/>
      <c r="Q24" s="7" t="n"/>
      <c r="R24" s="7" t="n"/>
      <c r="S24" s="7" t="n"/>
    </row>
    <row r="25" ht="30" customHeight="1">
      <c r="A25" s="7" t="n"/>
      <c r="B25" s="7" t="n"/>
      <c r="C25" s="7" t="n"/>
      <c r="D25" s="7" t="n"/>
      <c r="E25" s="7" t="n"/>
      <c r="F25" s="7" t="n"/>
      <c r="G25" s="7" t="n"/>
      <c r="H25" s="7" t="n"/>
      <c r="I25" s="7" t="n">
        <v>18</v>
      </c>
      <c r="J25" s="7" t="inlineStr">
        <is>
          <t>Monday–Saturday Working Hours</t>
        </is>
      </c>
      <c r="K25" s="7" t="inlineStr">
        <is>
          <t>The academy operates from 4:00 PM to 9:00 PM, Monday through Saturday. All classes must be scheduled within these hours, subject to the separate Saturday morning and afternoon operating hours.</t>
        </is>
      </c>
      <c r="L25" s="7" t="n"/>
      <c r="M25" s="7" t="n"/>
      <c r="N25" s="7" t="n"/>
      <c r="O25" s="7" t="n"/>
      <c r="P25" s="7" t="n"/>
      <c r="Q25" s="7" t="n"/>
      <c r="R25" s="7" t="n"/>
      <c r="S25" s="7" t="n"/>
    </row>
    <row r="26" ht="30" customHeight="1">
      <c r="A26" s="7" t="n"/>
      <c r="B26" s="7" t="n"/>
      <c r="C26" s="7" t="n"/>
      <c r="D26" s="7" t="n"/>
      <c r="E26" s="7" t="n"/>
      <c r="F26" s="7" t="n"/>
      <c r="G26" s="7" t="n"/>
      <c r="H26" s="7" t="n"/>
      <c r="I26" s="7" t="n">
        <v>19</v>
      </c>
      <c r="J26" s="7" t="inlineStr">
        <is>
          <t>Saturday Working Hours</t>
        </is>
      </c>
      <c r="K26" s="7" t="inlineStr">
        <is>
          <t>The academy operates from 6:00 AM to 2:00 PM and 4:00 PM to 9:00 PM on Saturdays. All Saturday classes must fall within these operating hours.</t>
        </is>
      </c>
      <c r="L26" s="7" t="n"/>
      <c r="M26" s="7" t="n"/>
      <c r="N26" s="7" t="n"/>
      <c r="O26" s="7" t="n"/>
      <c r="P26" s="7" t="n"/>
      <c r="Q26" s="7" t="n"/>
      <c r="R26" s="7" t="n"/>
      <c r="S26" s="7" t="n"/>
    </row>
  </sheetData>
  <autoFilter ref="A1:S26"/>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Z125"/>
  <sheetViews>
    <sheetView tabSelected="1" workbookViewId="0">
      <pane xSplit="8" ySplit="1" topLeftCell="I2" activePane="bottomRight" state="frozen"/>
      <selection pane="topRight" activeCell="I1" sqref="I1"/>
      <selection pane="bottomLeft" activeCell="A2" sqref="A2"/>
      <selection pane="bottomRight" activeCell="G9" sqref="G9"/>
    </sheetView>
  </sheetViews>
  <sheetFormatPr baseColWidth="8" defaultColWidth="8.6640625" defaultRowHeight="14.4"/>
  <cols>
    <col width="25" customWidth="1" style="2" min="1" max="1"/>
    <col width="11" customWidth="1" style="2" min="2" max="2"/>
    <col width="9" customWidth="1" style="2" min="3" max="3"/>
    <col width="14" customWidth="1" style="2" min="4" max="4"/>
    <col width="13.88671875" customWidth="1" style="2" min="5" max="5"/>
    <col width="12.5546875" customWidth="1" style="2" min="6" max="6"/>
    <col width="3.77734375" customWidth="1" style="2" min="7" max="9"/>
    <col width="14" customWidth="1" style="2" min="10" max="10"/>
    <col width="11" customWidth="1" style="2" min="11" max="11"/>
    <col width="14" customWidth="1" style="2" min="12" max="12"/>
    <col width="11" customWidth="1" style="2" min="13" max="13"/>
    <col width="9.77734375" customWidth="1" style="2" min="14" max="71"/>
    <col width="38" customWidth="1" style="2" min="72" max="72"/>
    <col width="12" customWidth="1" style="2" min="73" max="73"/>
    <col width="13" customWidth="1" style="2" min="74" max="77"/>
    <col width="14" customWidth="1" style="2" min="78" max="78"/>
    <col width="8.6640625" customWidth="1" style="2" min="79" max="79"/>
    <col width="8.6640625" customWidth="1" style="2" min="80" max="16384"/>
  </cols>
  <sheetData>
    <row r="1" ht="15.75" customHeight="1">
      <c r="A1" s="12" t="inlineStr">
        <is>
          <t>Yellow name = newly assigned in Oct</t>
        </is>
      </c>
      <c r="B1" s="59" t="n"/>
      <c r="C1" s="59" t="n"/>
      <c r="D1" s="59" t="n"/>
      <c r="E1" s="59" t="n"/>
      <c r="F1" s="59" t="n"/>
      <c r="G1" s="14" t="n"/>
      <c r="H1" s="14" t="n"/>
      <c r="I1" s="62" t="n"/>
      <c r="J1" s="14">
        <f>TEXT(DATE(2026,10,1),"dddd")</f>
        <v/>
      </c>
      <c r="K1" s="14" t="n"/>
      <c r="L1" s="14">
        <f>TEXT(DATE(2026,10,2),"dddd")</f>
        <v/>
      </c>
      <c r="M1" s="14" t="n"/>
      <c r="N1" s="14">
        <f>TEXT(DATE(2026,10,3),"dddd")</f>
        <v/>
      </c>
      <c r="O1" s="14" t="n"/>
      <c r="P1" s="15">
        <f>TEXT(DATE(2026,10,4),"dddd")</f>
        <v/>
      </c>
      <c r="Q1" s="15" t="n"/>
      <c r="R1" s="14">
        <f>TEXT(DATE(2026,10,5),"dddd")</f>
        <v/>
      </c>
      <c r="S1" s="14" t="n"/>
      <c r="T1" s="14">
        <f>TEXT(DATE(2026,10,6),"dddd")</f>
        <v/>
      </c>
      <c r="U1" s="14" t="n"/>
      <c r="V1" s="14">
        <f>TEXT(DATE(2026,10,7),"dddd")</f>
        <v/>
      </c>
      <c r="W1" s="14" t="n"/>
      <c r="X1" s="14">
        <f>TEXT(DATE(2026,10,8),"dddd")</f>
        <v/>
      </c>
      <c r="Y1" s="14" t="n"/>
      <c r="Z1" s="14">
        <f>TEXT(DATE(2026,10,9),"dddd")</f>
        <v/>
      </c>
      <c r="AA1" s="14" t="n"/>
      <c r="AB1" s="14">
        <f>TEXT(DATE(2026,10,10),"dddd")</f>
        <v/>
      </c>
      <c r="AC1" s="14" t="n"/>
      <c r="AD1" s="15">
        <f>TEXT(DATE(2026,10,11),"dddd")</f>
        <v/>
      </c>
      <c r="AE1" s="15" t="n"/>
      <c r="AF1" s="14">
        <f>TEXT(DATE(2026,10,12),"dddd")</f>
        <v/>
      </c>
      <c r="AG1" s="14" t="n"/>
      <c r="AH1" s="14">
        <f>TEXT(DATE(2026,10,13),"dddd")</f>
        <v/>
      </c>
      <c r="AI1" s="14" t="n"/>
      <c r="AJ1" s="14">
        <f>TEXT(DATE(2026,10,14),"dddd")</f>
        <v/>
      </c>
      <c r="AK1" s="14" t="n"/>
      <c r="AL1" s="14">
        <f>TEXT(DATE(2026,10,15),"dddd")</f>
        <v/>
      </c>
      <c r="AM1" s="14" t="n"/>
      <c r="AN1" s="14">
        <f>TEXT(DATE(2026,10,16),"dddd")</f>
        <v/>
      </c>
      <c r="AO1" s="14" t="n"/>
      <c r="AP1" s="14">
        <f>TEXT(DATE(2026,10,17),"dddd")</f>
        <v/>
      </c>
      <c r="AQ1" s="14" t="n"/>
      <c r="AR1" s="15">
        <f>TEXT(DATE(2026,10,18),"dddd")</f>
        <v/>
      </c>
      <c r="AS1" s="15" t="n"/>
      <c r="AT1" s="14">
        <f>TEXT(DATE(2026,10,19),"dddd")</f>
        <v/>
      </c>
      <c r="AU1" s="14" t="n"/>
      <c r="AV1" s="14">
        <f>TEXT(DATE(2026,10,20),"dddd")</f>
        <v/>
      </c>
      <c r="AW1" s="14" t="n"/>
      <c r="AX1" s="14">
        <f>TEXT(DATE(2026,10,21),"dddd")</f>
        <v/>
      </c>
      <c r="AY1" s="14" t="n"/>
      <c r="AZ1" s="14">
        <f>TEXT(DATE(2026,10,22),"dddd")</f>
        <v/>
      </c>
      <c r="BA1" s="14" t="n"/>
      <c r="BB1" s="14">
        <f>TEXT(DATE(2026,10,23),"dddd")</f>
        <v/>
      </c>
      <c r="BC1" s="14" t="n"/>
      <c r="BD1" s="14">
        <f>TEXT(DATE(2026,10,24),"dddd")</f>
        <v/>
      </c>
      <c r="BE1" s="14" t="n"/>
      <c r="BF1" s="15">
        <f>TEXT(DATE(2026,10,25),"dddd")</f>
        <v/>
      </c>
      <c r="BG1" s="15" t="n"/>
      <c r="BH1" s="14">
        <f>TEXT(DATE(2026,10,26),"dddd")</f>
        <v/>
      </c>
      <c r="BI1" s="14" t="n"/>
      <c r="BJ1" s="14">
        <f>TEXT(DATE(2026,10,27),"dddd")</f>
        <v/>
      </c>
      <c r="BK1" s="14" t="n"/>
      <c r="BL1" s="14">
        <f>TEXT(DATE(2026,10,28),"dddd")</f>
        <v/>
      </c>
      <c r="BM1" s="14" t="n"/>
      <c r="BN1" s="14">
        <f>TEXT(DATE(2026,10,29),"dddd")</f>
        <v/>
      </c>
      <c r="BO1" s="14" t="n"/>
      <c r="BP1" s="14">
        <f>TEXT(DATE(2026,10,30),"dddd")</f>
        <v/>
      </c>
      <c r="BQ1" s="14" t="n"/>
      <c r="BR1" s="14">
        <f>TEXT(DATE(2026,10,31),"dddd")</f>
        <v/>
      </c>
      <c r="BS1" s="14" t="n"/>
      <c r="BT1" s="14" t="n"/>
      <c r="BU1" s="14" t="n"/>
      <c r="BV1" s="14" t="n"/>
      <c r="BW1" s="14" t="n"/>
      <c r="BX1" s="14" t="n"/>
      <c r="BY1" s="14" t="n"/>
      <c r="BZ1" s="14" t="n"/>
    </row>
    <row r="2" ht="23.85" customHeight="1">
      <c r="A2" s="64" t="inlineStr">
        <is>
          <t>M VARUNESH PANDI</t>
        </is>
      </c>
      <c r="B2" s="45" t="inlineStr">
        <is>
          <t>MKS00166</t>
        </is>
      </c>
      <c r="C2" s="45" t="n">
        <v>3.1</v>
      </c>
      <c r="D2" s="16" t="inlineStr">
        <is>
          <t>Beginner</t>
        </is>
      </c>
      <c r="E2" s="16" t="inlineStr">
        <is>
          <t>L Beginner1</t>
        </is>
      </c>
      <c r="F2" s="45" t="inlineStr">
        <is>
          <t>only 3 studens in limted batch, not available after 9pm</t>
        </is>
      </c>
      <c r="G2" s="61" t="n">
        <v>12</v>
      </c>
      <c r="H2" s="61">
        <f>COUNT(J2:BS2)</f>
        <v/>
      </c>
      <c r="I2" s="63">
        <f>G2-H2</f>
        <v/>
      </c>
      <c r="J2" s="61" t="n"/>
      <c r="K2" s="61" t="n"/>
      <c r="L2" s="22" t="n">
        <v>0.8333333333333334</v>
      </c>
      <c r="M2" s="23" t="inlineStr">
        <is>
          <t>Manikandan</t>
        </is>
      </c>
      <c r="N2" s="60" t="n"/>
      <c r="O2" s="61" t="n"/>
      <c r="P2" s="54" t="n">
        <v>0.5625</v>
      </c>
      <c r="Q2" s="55" t="inlineStr">
        <is>
          <t>Abinaya</t>
        </is>
      </c>
      <c r="R2" s="61" t="n"/>
      <c r="S2" s="61" t="n"/>
      <c r="T2" s="61" t="n"/>
      <c r="U2" s="61" t="n"/>
      <c r="V2" s="83" t="n">
        <v>0.8333333333333334</v>
      </c>
      <c r="W2" s="84" t="inlineStr">
        <is>
          <t>Manikandan</t>
        </is>
      </c>
      <c r="X2" s="61" t="n"/>
      <c r="Y2" s="61" t="n"/>
      <c r="Z2" s="54" t="n">
        <v>0.8333333333333334</v>
      </c>
      <c r="AA2" s="55" t="inlineStr">
        <is>
          <t>Manikandan</t>
        </is>
      </c>
      <c r="AB2" s="54" t="n">
        <v>0.8333333333333334</v>
      </c>
      <c r="AC2" s="55" t="inlineStr">
        <is>
          <t>Manikandan</t>
        </is>
      </c>
      <c r="AD2" s="54" t="n">
        <v>0.5625</v>
      </c>
      <c r="AE2" s="55" t="inlineStr">
        <is>
          <t>Abinaya</t>
        </is>
      </c>
      <c r="AF2" s="54" t="n"/>
      <c r="AG2" s="55" t="n"/>
      <c r="AH2" s="54" t="n"/>
      <c r="AI2" s="55" t="n"/>
      <c r="AJ2" s="60" t="n"/>
      <c r="AK2" s="61" t="n"/>
      <c r="AL2" s="83" t="n">
        <v>0.8333333333333334</v>
      </c>
      <c r="AM2" s="84" t="inlineStr">
        <is>
          <t>Manikandan</t>
        </is>
      </c>
      <c r="AN2" s="54" t="n">
        <v>0.8333333333333334</v>
      </c>
      <c r="AO2" s="55" t="inlineStr">
        <is>
          <t>Manikandan</t>
        </is>
      </c>
      <c r="AP2" s="60" t="n"/>
      <c r="AQ2" s="61" t="n"/>
      <c r="AR2" s="54" t="n">
        <v>0.5625</v>
      </c>
      <c r="AS2" s="55" t="inlineStr">
        <is>
          <t>Abinaya</t>
        </is>
      </c>
      <c r="AT2" s="61" t="n"/>
      <c r="AU2" s="61" t="n"/>
      <c r="AV2" s="61" t="n"/>
      <c r="AW2" s="61" t="n"/>
      <c r="AX2" s="60" t="n"/>
      <c r="AY2" s="61" t="n"/>
      <c r="AZ2" s="61" t="n"/>
      <c r="BA2" s="61" t="n"/>
      <c r="BB2" s="60" t="n">
        <v>0.8333333333333334</v>
      </c>
      <c r="BC2" s="61" t="inlineStr">
        <is>
          <t>Manikandan</t>
        </is>
      </c>
      <c r="BD2" s="60" t="n"/>
      <c r="BE2" s="61" t="n"/>
      <c r="BF2" s="54" t="n">
        <v>0.5625</v>
      </c>
      <c r="BG2" s="55" t="inlineStr">
        <is>
          <t>Abinaya</t>
        </is>
      </c>
      <c r="BH2" s="61" t="n"/>
      <c r="BI2" s="61" t="n"/>
      <c r="BJ2" s="61" t="n"/>
      <c r="BK2" s="61" t="n"/>
      <c r="BL2" s="83" t="n">
        <v>0.8333333333333334</v>
      </c>
      <c r="BM2" s="84" t="inlineStr">
        <is>
          <t>Manikandan</t>
        </is>
      </c>
      <c r="BN2" s="61" t="n"/>
      <c r="BO2" s="61" t="n"/>
      <c r="BP2" s="61" t="n"/>
      <c r="BQ2" s="61" t="n"/>
      <c r="BR2" s="61" t="n"/>
      <c r="BS2" s="61" t="n"/>
      <c r="BT2" s="16" t="inlineStr">
        <is>
          <t>Coach pref: Manikandan | Saturday work till 6 | Newly assigned for Oct</t>
        </is>
      </c>
      <c r="BU2" s="61">
        <f>MIN(G2,12)</f>
        <v/>
      </c>
      <c r="BV2" s="61">
        <f>COUNT(J2:W2)</f>
        <v/>
      </c>
      <c r="BW2" s="61">
        <f>COUNT(X2:AK2)</f>
        <v/>
      </c>
      <c r="BX2" s="61">
        <f>COUNT(AL2:AY2)</f>
        <v/>
      </c>
      <c r="BY2" s="61">
        <f>COUNT(AZ2:BS2)</f>
        <v/>
      </c>
      <c r="BZ2" s="61">
        <f>IF(AND(H2=$BU2,BV2&gt;=INT($BU2/4),BV2&lt;=INT($BU2/4)+IF(MOD($BU2,4)&gt;0,1,0),BW2&gt;=INT($BU2/4),BW2&lt;=INT($BU2/4)+IF(MOD($BU2,4)&gt;0,1,0),BX2&gt;=INT($BU2/4),BX2&lt;=INT($BU2/4)+IF(MOD($BU2,4)&gt;0,1,0),BY2&gt;=INT($BU2/4),BY2&lt;=INT($BU2/4)+IF(MOD($BU2,4)&gt;0,1,0)),"OK","CHECK")</f>
        <v/>
      </c>
    </row>
    <row r="3" ht="30" customHeight="1">
      <c r="A3" s="16" t="inlineStr">
        <is>
          <t>Akshadhasree</t>
        </is>
      </c>
      <c r="B3" s="16" t="inlineStr">
        <is>
          <t>MKS00067</t>
        </is>
      </c>
      <c r="C3" s="16" t="n">
        <v>3</v>
      </c>
      <c r="D3" s="16" t="inlineStr">
        <is>
          <t>Beginner</t>
        </is>
      </c>
      <c r="E3" s="16" t="inlineStr">
        <is>
          <t>L Beginner1B</t>
        </is>
      </c>
      <c r="F3" s="45" t="inlineStr">
        <is>
          <t>1.30pm tournament Sunday</t>
        </is>
      </c>
      <c r="G3" s="61" t="n">
        <v>8</v>
      </c>
      <c r="H3" s="61">
        <f>COUNT(J3:BS3)</f>
        <v/>
      </c>
      <c r="I3" s="63">
        <f>G3-H3</f>
        <v/>
      </c>
      <c r="J3" s="61" t="n"/>
      <c r="K3" s="61" t="n"/>
      <c r="L3" s="61" t="n"/>
      <c r="M3" s="61" t="n"/>
      <c r="N3" s="60" t="n">
        <v>0.4583333333333333</v>
      </c>
      <c r="O3" s="61" t="inlineStr">
        <is>
          <t>Bathri</t>
        </is>
      </c>
      <c r="P3" s="22" t="n">
        <v>0.5625</v>
      </c>
      <c r="Q3" s="23" t="inlineStr">
        <is>
          <t>Abinaya</t>
        </is>
      </c>
      <c r="R3" s="61" t="n"/>
      <c r="S3" s="61" t="n"/>
      <c r="T3" s="61" t="n"/>
      <c r="U3" s="61" t="n"/>
      <c r="V3" s="61" t="n"/>
      <c r="W3" s="61" t="n"/>
      <c r="X3" s="61" t="n"/>
      <c r="Y3" s="61" t="n"/>
      <c r="Z3" s="61" t="n"/>
      <c r="AA3" s="61" t="n"/>
      <c r="AB3" s="60" t="n">
        <v>0.4583333333333333</v>
      </c>
      <c r="AC3" s="61" t="inlineStr">
        <is>
          <t>Bathri</t>
        </is>
      </c>
      <c r="AD3" s="54" t="n">
        <v>0.5625</v>
      </c>
      <c r="AE3" s="55" t="inlineStr">
        <is>
          <t>Abinaya</t>
        </is>
      </c>
      <c r="AF3" s="61" t="n"/>
      <c r="AG3" s="61" t="n"/>
      <c r="AH3" s="61" t="n"/>
      <c r="AI3" s="61" t="n"/>
      <c r="AJ3" s="61" t="n"/>
      <c r="AK3" s="61" t="n"/>
      <c r="AL3" s="61" t="n"/>
      <c r="AM3" s="61" t="n"/>
      <c r="AN3" s="61" t="n"/>
      <c r="AO3" s="61" t="n"/>
      <c r="AP3" s="60" t="n"/>
      <c r="AQ3" s="61" t="n"/>
      <c r="AR3" s="54" t="n">
        <v>0.5625</v>
      </c>
      <c r="AS3" s="55" t="inlineStr">
        <is>
          <t>Abinaya</t>
        </is>
      </c>
      <c r="AT3" s="61" t="n"/>
      <c r="AU3" s="61" t="n"/>
      <c r="AV3" s="61" t="n"/>
      <c r="AW3" s="61" t="n"/>
      <c r="AX3" s="61" t="n"/>
      <c r="AY3" s="61" t="n"/>
      <c r="AZ3" s="61" t="n"/>
      <c r="BA3" s="61" t="n"/>
      <c r="BB3" s="61" t="n"/>
      <c r="BC3" s="61" t="n"/>
      <c r="BD3" s="85" t="n">
        <v>0.4583333333333333</v>
      </c>
      <c r="BE3" s="85" t="inlineStr">
        <is>
          <t>Bathri</t>
        </is>
      </c>
      <c r="BF3" s="54" t="n">
        <v>0.5625</v>
      </c>
      <c r="BG3" s="55" t="inlineStr">
        <is>
          <t>Abinaya</t>
        </is>
      </c>
      <c r="BH3" s="61" t="n"/>
      <c r="BI3" s="61" t="n"/>
      <c r="BJ3" s="61" t="n"/>
      <c r="BK3" s="61" t="n"/>
      <c r="BL3" s="61" t="n"/>
      <c r="BM3" s="61" t="n"/>
      <c r="BN3" s="61" t="n"/>
      <c r="BO3" s="61" t="n"/>
      <c r="BP3" s="61" t="n"/>
      <c r="BQ3" s="61" t="n"/>
      <c r="BR3" s="60" t="n"/>
      <c r="BS3" s="61" t="n"/>
      <c r="BT3" s="16" t="n"/>
      <c r="BU3" s="61">
        <f>MIN(G3,12)</f>
        <v/>
      </c>
      <c r="BV3" s="61">
        <f>COUNT(J3:W3)</f>
        <v/>
      </c>
      <c r="BW3" s="61">
        <f>COUNT(X3:AK3)</f>
        <v/>
      </c>
      <c r="BX3" s="61">
        <f>COUNT(AL3:AY3)</f>
        <v/>
      </c>
      <c r="BY3" s="61">
        <f>COUNT(AZ3:BS3)</f>
        <v/>
      </c>
      <c r="BZ3" s="61">
        <f>IF(AND(H3=$BU3,BV3&gt;=INT($BU3/4),BV3&lt;=INT($BU3/4)+IF(MOD($BU3,4)&gt;0,1,0),BW3&gt;=INT($BU3/4),BW3&lt;=INT($BU3/4)+IF(MOD($BU3,4)&gt;0,1,0),BX3&gt;=INT($BU3/4),BX3&lt;=INT($BU3/4)+IF(MOD($BU3,4)&gt;0,1,0),BY3&gt;=INT($BU3/4),BY3&lt;=INT($BU3/4)+IF(MOD($BU3,4)&gt;0,1,0)),"OK","CHECK")</f>
        <v/>
      </c>
    </row>
    <row r="4" ht="15" customHeight="1">
      <c r="A4" s="16" t="inlineStr">
        <is>
          <t>Anikha</t>
        </is>
      </c>
      <c r="B4" s="16" t="inlineStr">
        <is>
          <t>MKS00066</t>
        </is>
      </c>
      <c r="C4" s="16" t="n">
        <v>3.1</v>
      </c>
      <c r="D4" s="16" t="inlineStr">
        <is>
          <t>Beginner</t>
        </is>
      </c>
      <c r="E4" s="16" t="inlineStr">
        <is>
          <t>L Beginner1B</t>
        </is>
      </c>
      <c r="F4" s="45" t="inlineStr">
        <is>
          <t>1.30pm tournament Sunday</t>
        </is>
      </c>
      <c r="G4" s="61" t="n">
        <v>8</v>
      </c>
      <c r="H4" s="61">
        <f>COUNT(J4:BS4)</f>
        <v/>
      </c>
      <c r="I4" s="63">
        <f>G4-H4</f>
        <v/>
      </c>
      <c r="J4" s="61" t="n"/>
      <c r="K4" s="61" t="n"/>
      <c r="L4" s="61" t="n"/>
      <c r="M4" s="61" t="n"/>
      <c r="N4" s="60" t="n">
        <v>0.4583333333333333</v>
      </c>
      <c r="O4" s="61" t="inlineStr">
        <is>
          <t>Bathri</t>
        </is>
      </c>
      <c r="P4" s="22" t="n">
        <v>0.5625</v>
      </c>
      <c r="Q4" s="23" t="inlineStr">
        <is>
          <t>Abinaya</t>
        </is>
      </c>
      <c r="R4" s="61" t="n"/>
      <c r="S4" s="61" t="n"/>
      <c r="T4" s="61" t="n"/>
      <c r="U4" s="61" t="n"/>
      <c r="V4" s="61" t="n"/>
      <c r="W4" s="61" t="n"/>
      <c r="X4" s="61" t="n"/>
      <c r="Y4" s="61" t="n"/>
      <c r="Z4" s="61" t="n"/>
      <c r="AA4" s="61" t="n"/>
      <c r="AB4" s="60" t="n">
        <v>0.4583333333333333</v>
      </c>
      <c r="AC4" s="61" t="inlineStr">
        <is>
          <t>Bathri</t>
        </is>
      </c>
      <c r="AD4" s="54" t="n">
        <v>0.5625</v>
      </c>
      <c r="AE4" s="55" t="inlineStr">
        <is>
          <t>Abinaya</t>
        </is>
      </c>
      <c r="AF4" s="61" t="n"/>
      <c r="AG4" s="61" t="n"/>
      <c r="AH4" s="61" t="n"/>
      <c r="AI4" s="61" t="n"/>
      <c r="AJ4" s="61" t="n"/>
      <c r="AK4" s="61" t="n"/>
      <c r="AL4" s="61" t="n"/>
      <c r="AM4" s="61" t="n"/>
      <c r="AN4" s="61" t="n"/>
      <c r="AO4" s="61" t="n"/>
      <c r="AP4" s="60" t="n"/>
      <c r="AQ4" s="61" t="n"/>
      <c r="AR4" s="54" t="n">
        <v>0.5625</v>
      </c>
      <c r="AS4" s="55" t="inlineStr">
        <is>
          <t>Abinaya</t>
        </is>
      </c>
      <c r="AT4" s="61" t="n"/>
      <c r="AU4" s="61" t="n"/>
      <c r="AV4" s="61" t="n"/>
      <c r="AW4" s="61" t="n"/>
      <c r="AX4" s="61" t="n"/>
      <c r="AY4" s="61" t="n"/>
      <c r="AZ4" s="61" t="n"/>
      <c r="BA4" s="61" t="n"/>
      <c r="BB4" s="61" t="n"/>
      <c r="BC4" s="61" t="n"/>
      <c r="BD4" s="85" t="n">
        <v>0.4583333333333333</v>
      </c>
      <c r="BE4" s="85" t="inlineStr">
        <is>
          <t>Bathri</t>
        </is>
      </c>
      <c r="BF4" s="54" t="n">
        <v>0.5625</v>
      </c>
      <c r="BG4" s="55" t="inlineStr">
        <is>
          <t>Abinaya</t>
        </is>
      </c>
      <c r="BH4" s="61" t="n"/>
      <c r="BI4" s="61" t="n"/>
      <c r="BJ4" s="61" t="n"/>
      <c r="BK4" s="61" t="n"/>
      <c r="BL4" s="61" t="n"/>
      <c r="BM4" s="61" t="n"/>
      <c r="BN4" s="61" t="n"/>
      <c r="BO4" s="61" t="n"/>
      <c r="BP4" s="61" t="n"/>
      <c r="BQ4" s="61" t="n"/>
      <c r="BR4" s="60" t="n"/>
      <c r="BS4" s="61" t="n"/>
      <c r="BT4" s="16" t="n"/>
      <c r="BU4" s="61">
        <f>MIN(G4,12)</f>
        <v/>
      </c>
      <c r="BV4" s="61">
        <f>COUNT(J4:W4)</f>
        <v/>
      </c>
      <c r="BW4" s="61">
        <f>COUNT(X4:AK4)</f>
        <v/>
      </c>
      <c r="BX4" s="61">
        <f>COUNT(AL4:AY4)</f>
        <v/>
      </c>
      <c r="BY4" s="61">
        <f>COUNT(AZ4:BS4)</f>
        <v/>
      </c>
      <c r="BZ4" s="61">
        <f>IF(AND(H4=$BU4,BV4&gt;=INT($BU4/4),BV4&lt;=INT($BU4/4)+IF(MOD($BU4,4)&gt;0,1,0),BW4&gt;=INT($BU4/4),BW4&lt;=INT($BU4/4)+IF(MOD($BU4,4)&gt;0,1,0),BX4&gt;=INT($BU4/4),BX4&lt;=INT($BU4/4)+IF(MOD($BU4,4)&gt;0,1,0),BY4&gt;=INT($BU4/4),BY4&lt;=INT($BU4/4)+IF(MOD($BU4,4)&gt;0,1,0)),"OK","CHECK")</f>
        <v/>
      </c>
    </row>
    <row r="5" ht="15" customHeight="1">
      <c r="A5" s="16" t="inlineStr">
        <is>
          <t>Krishiv Ajay</t>
        </is>
      </c>
      <c r="B5" s="16" t="inlineStr">
        <is>
          <t>MKS00037</t>
        </is>
      </c>
      <c r="C5" s="16" t="n">
        <v>7.5</v>
      </c>
      <c r="D5" s="16" t="inlineStr">
        <is>
          <t>Intermediate</t>
        </is>
      </c>
      <c r="E5" s="16" t="inlineStr">
        <is>
          <t>G Intermediate2</t>
        </is>
      </c>
      <c r="F5" s="16" t="n"/>
      <c r="G5" s="61" t="n">
        <v>12</v>
      </c>
      <c r="H5" s="61">
        <f>COUNT(J5:BS5)</f>
        <v/>
      </c>
      <c r="I5" s="63">
        <f>G5-H5</f>
        <v/>
      </c>
      <c r="J5" s="37" t="n">
        <v>0.7291666666666666</v>
      </c>
      <c r="K5" s="38" t="inlineStr">
        <is>
          <t>Arshath</t>
        </is>
      </c>
      <c r="L5" s="22" t="n">
        <v>0.7291666666666666</v>
      </c>
      <c r="M5" s="23" t="inlineStr">
        <is>
          <t>Arshath</t>
        </is>
      </c>
      <c r="N5" s="60" t="n">
        <v>0.75</v>
      </c>
      <c r="O5" s="61" t="inlineStr">
        <is>
          <t>Arshath</t>
        </is>
      </c>
      <c r="P5" s="19" t="n"/>
      <c r="Q5" s="19" t="n"/>
      <c r="R5" s="61" t="n"/>
      <c r="S5" s="61" t="n"/>
      <c r="T5" s="61" t="n"/>
      <c r="U5" s="61" t="n"/>
      <c r="V5" s="61" t="n"/>
      <c r="W5" s="61" t="n"/>
      <c r="X5" s="37" t="n">
        <v>0.7291666666666666</v>
      </c>
      <c r="Y5" s="38" t="inlineStr">
        <is>
          <t>Arshath</t>
        </is>
      </c>
      <c r="Z5" s="37" t="n">
        <v>0.7291666666666666</v>
      </c>
      <c r="AA5" s="38" t="inlineStr">
        <is>
          <t>Arshath</t>
        </is>
      </c>
      <c r="AB5" s="60" t="n">
        <v>0.75</v>
      </c>
      <c r="AC5" s="61" t="inlineStr">
        <is>
          <t>Arshath</t>
        </is>
      </c>
      <c r="AD5" s="19" t="n"/>
      <c r="AE5" s="19" t="n"/>
      <c r="AF5" s="61" t="n"/>
      <c r="AG5" s="61" t="n"/>
      <c r="AH5" s="61" t="n"/>
      <c r="AI5" s="61" t="n"/>
      <c r="AJ5" s="61" t="n"/>
      <c r="AK5" s="61" t="n"/>
      <c r="AL5" s="37" t="n">
        <v>0.7291666666666666</v>
      </c>
      <c r="AM5" s="38" t="inlineStr">
        <is>
          <t>Arshath</t>
        </is>
      </c>
      <c r="AN5" s="37" t="n">
        <v>0.7291666666666666</v>
      </c>
      <c r="AO5" s="38" t="inlineStr">
        <is>
          <t>Arshath</t>
        </is>
      </c>
      <c r="AP5" s="60" t="n">
        <v>0.75</v>
      </c>
      <c r="AQ5" s="61" t="inlineStr">
        <is>
          <t>Arshath</t>
        </is>
      </c>
      <c r="AR5" s="60" t="n"/>
      <c r="AS5" s="61" t="n"/>
      <c r="AT5" s="37" t="n"/>
      <c r="AU5" s="38" t="n"/>
      <c r="AV5" s="37" t="n"/>
      <c r="AW5" s="38" t="n"/>
      <c r="AX5" s="37" t="n"/>
      <c r="AY5" s="38" t="n"/>
      <c r="AZ5" s="37" t="n">
        <v>0.7291666666666666</v>
      </c>
      <c r="BA5" s="38" t="inlineStr">
        <is>
          <t>Arshath</t>
        </is>
      </c>
      <c r="BB5" s="37" t="n">
        <v>0.7291666666666666</v>
      </c>
      <c r="BC5" s="38" t="inlineStr">
        <is>
          <t>Arshath</t>
        </is>
      </c>
      <c r="BD5" s="61" t="n"/>
      <c r="BE5" s="61" t="n"/>
      <c r="BF5" s="19" t="n"/>
      <c r="BG5" s="19" t="n"/>
      <c r="BH5" s="61" t="n"/>
      <c r="BI5" s="61" t="n"/>
      <c r="BJ5" s="61" t="n"/>
      <c r="BK5" s="61" t="n"/>
      <c r="BL5" s="61" t="n"/>
      <c r="BM5" s="61" t="n"/>
      <c r="BN5" s="61" t="n"/>
      <c r="BO5" s="61" t="n"/>
      <c r="BP5" s="37" t="n">
        <v>0.7291666666666666</v>
      </c>
      <c r="BQ5" s="38" t="inlineStr">
        <is>
          <t>Arshath</t>
        </is>
      </c>
      <c r="BR5" s="60" t="n"/>
      <c r="BS5" s="61" t="n"/>
      <c r="BT5" s="16" t="n"/>
      <c r="BU5" s="61">
        <f>MIN(G5,12)</f>
        <v/>
      </c>
      <c r="BV5" s="61">
        <f>COUNT(J5:W5)</f>
        <v/>
      </c>
      <c r="BW5" s="61">
        <f>COUNT(X5:AK5)</f>
        <v/>
      </c>
      <c r="BX5" s="61">
        <f>COUNT(AL5:AY5)</f>
        <v/>
      </c>
      <c r="BY5" s="61">
        <f>COUNT(AZ5:BS5)</f>
        <v/>
      </c>
      <c r="BZ5" s="61">
        <f>IF(AND(H5=$BU5,BV5&gt;=INT($BU5/4),BV5&lt;=INT($BU5/4)+IF(MOD($BU5,4)&gt;0,1,0),BW5&gt;=INT($BU5/4),BW5&lt;=INT($BU5/4)+IF(MOD($BU5,4)&gt;0,1,0),BX5&gt;=INT($BU5/4),BX5&lt;=INT($BU5/4)+IF(MOD($BU5,4)&gt;0,1,0),BY5&gt;=INT($BU5/4),BY5&lt;=INT($BU5/4)+IF(MOD($BU5,4)&gt;0,1,0)),"OK","CHECK")</f>
        <v/>
      </c>
    </row>
    <row r="6" ht="15" customHeight="1">
      <c r="A6" s="16" t="inlineStr">
        <is>
          <t>Srikavi Bharathi</t>
        </is>
      </c>
      <c r="B6" s="16" t="inlineStr">
        <is>
          <t>MKS00045</t>
        </is>
      </c>
      <c r="C6" s="16" t="n">
        <v>7</v>
      </c>
      <c r="D6" s="16" t="inlineStr">
        <is>
          <t>Intermediate</t>
        </is>
      </c>
      <c r="E6" s="16" t="inlineStr">
        <is>
          <t>G Intermediate2</t>
        </is>
      </c>
      <c r="F6" s="16" t="n"/>
      <c r="G6" s="61" t="n">
        <v>12</v>
      </c>
      <c r="H6" s="61">
        <f>COUNT(J6:BS6)</f>
        <v/>
      </c>
      <c r="I6" s="63">
        <f>G6-H6</f>
        <v/>
      </c>
      <c r="J6" s="37" t="n">
        <v>0.7291666666666666</v>
      </c>
      <c r="K6" s="38" t="inlineStr">
        <is>
          <t>Arshath</t>
        </is>
      </c>
      <c r="L6" s="22" t="n">
        <v>0.7291666666666666</v>
      </c>
      <c r="M6" s="23" t="inlineStr">
        <is>
          <t>Arshath</t>
        </is>
      </c>
      <c r="N6" s="60" t="n">
        <v>0.75</v>
      </c>
      <c r="O6" s="61" t="inlineStr">
        <is>
          <t>Arshath</t>
        </is>
      </c>
      <c r="P6" s="19" t="n"/>
      <c r="Q6" s="19" t="n"/>
      <c r="R6" s="61" t="n"/>
      <c r="S6" s="61" t="n"/>
      <c r="T6" s="61" t="n"/>
      <c r="U6" s="61" t="n"/>
      <c r="V6" s="61" t="n"/>
      <c r="W6" s="61" t="n"/>
      <c r="X6" s="37" t="n">
        <v>0.7291666666666666</v>
      </c>
      <c r="Y6" s="38" t="inlineStr">
        <is>
          <t>Arshath</t>
        </is>
      </c>
      <c r="Z6" s="37" t="n">
        <v>0.7291666666666666</v>
      </c>
      <c r="AA6" s="38" t="inlineStr">
        <is>
          <t>Arshath</t>
        </is>
      </c>
      <c r="AB6" s="60" t="n">
        <v>0.75</v>
      </c>
      <c r="AC6" s="61" t="inlineStr">
        <is>
          <t>Arshath</t>
        </is>
      </c>
      <c r="AD6" s="19" t="n"/>
      <c r="AE6" s="19" t="n"/>
      <c r="AF6" s="61" t="n"/>
      <c r="AG6" s="61" t="n"/>
      <c r="AH6" s="61" t="n"/>
      <c r="AI6" s="61" t="n"/>
      <c r="AJ6" s="61" t="n"/>
      <c r="AK6" s="61" t="n"/>
      <c r="AL6" s="37" t="n">
        <v>0.7291666666666666</v>
      </c>
      <c r="AM6" s="38" t="inlineStr">
        <is>
          <t>Arshath</t>
        </is>
      </c>
      <c r="AN6" s="37" t="n">
        <v>0.7291666666666666</v>
      </c>
      <c r="AO6" s="38" t="inlineStr">
        <is>
          <t>Arshath</t>
        </is>
      </c>
      <c r="AP6" s="60" t="n">
        <v>0.75</v>
      </c>
      <c r="AQ6" s="61" t="inlineStr">
        <is>
          <t>Arshath</t>
        </is>
      </c>
      <c r="AR6" s="60" t="n"/>
      <c r="AS6" s="61" t="n"/>
      <c r="AT6" s="37" t="n"/>
      <c r="AU6" s="38" t="n"/>
      <c r="AV6" s="37" t="n"/>
      <c r="AW6" s="38" t="n"/>
      <c r="AX6" s="37" t="n"/>
      <c r="AY6" s="38" t="n"/>
      <c r="AZ6" s="37" t="n">
        <v>0.7291666666666666</v>
      </c>
      <c r="BA6" s="38" t="inlineStr">
        <is>
          <t>Arshath</t>
        </is>
      </c>
      <c r="BB6" s="37" t="n">
        <v>0.7291666666666666</v>
      </c>
      <c r="BC6" s="38" t="inlineStr">
        <is>
          <t>Arshath</t>
        </is>
      </c>
      <c r="BD6" s="61" t="n"/>
      <c r="BE6" s="61" t="n"/>
      <c r="BF6" s="19" t="n"/>
      <c r="BG6" s="19" t="n"/>
      <c r="BH6" s="61" t="n"/>
      <c r="BI6" s="61" t="n"/>
      <c r="BJ6" s="61" t="n"/>
      <c r="BK6" s="61" t="n"/>
      <c r="BL6" s="61" t="n"/>
      <c r="BM6" s="61" t="n"/>
      <c r="BN6" s="61" t="n"/>
      <c r="BO6" s="61" t="n"/>
      <c r="BP6" s="37" t="n">
        <v>0.7291666666666666</v>
      </c>
      <c r="BQ6" s="38" t="inlineStr">
        <is>
          <t>Arshath</t>
        </is>
      </c>
      <c r="BR6" s="60" t="n"/>
      <c r="BS6" s="61" t="n"/>
      <c r="BT6" s="16" t="n"/>
      <c r="BU6" s="61">
        <f>MIN(G6,12)</f>
        <v/>
      </c>
      <c r="BV6" s="61">
        <f>COUNT(J6:W6)</f>
        <v/>
      </c>
      <c r="BW6" s="61">
        <f>COUNT(X6:AK6)</f>
        <v/>
      </c>
      <c r="BX6" s="61">
        <f>COUNT(AL6:AY6)</f>
        <v/>
      </c>
      <c r="BY6" s="61">
        <f>COUNT(AZ6:BS6)</f>
        <v/>
      </c>
      <c r="BZ6" s="61">
        <f>IF(AND(H6=$BU6,BV6&gt;=INT($BU6/4),BV6&lt;=INT($BU6/4)+IF(MOD($BU6,4)&gt;0,1,0),BW6&gt;=INT($BU6/4),BW6&lt;=INT($BU6/4)+IF(MOD($BU6,4)&gt;0,1,0),BX6&gt;=INT($BU6/4),BX6&lt;=INT($BU6/4)+IF(MOD($BU6,4)&gt;0,1,0),BY6&gt;=INT($BU6/4),BY6&lt;=INT($BU6/4)+IF(MOD($BU6,4)&gt;0,1,0)),"OK","CHECK")</f>
        <v/>
      </c>
    </row>
    <row r="7" ht="15" customHeight="1">
      <c r="A7" s="16" t="inlineStr">
        <is>
          <t>M.Nalini Hirthika</t>
        </is>
      </c>
      <c r="B7" s="16" t="inlineStr">
        <is>
          <t>MKS00118</t>
        </is>
      </c>
      <c r="C7" s="16" t="n">
        <v>3.4</v>
      </c>
      <c r="D7" s="28" t="inlineStr">
        <is>
          <t>Beginner</t>
        </is>
      </c>
      <c r="E7" s="28" t="inlineStr">
        <is>
          <t>G Beginner2</t>
        </is>
      </c>
      <c r="F7" s="16" t="n"/>
      <c r="G7" s="61" t="n">
        <v>12</v>
      </c>
      <c r="H7" s="61">
        <f>COUNT(J7:BS7)</f>
        <v/>
      </c>
      <c r="I7" s="63">
        <f>G7-H7</f>
        <v/>
      </c>
      <c r="J7" s="61" t="n"/>
      <c r="K7" s="61" t="n"/>
      <c r="L7" s="61" t="n"/>
      <c r="M7" s="61" t="n"/>
      <c r="N7" s="60" t="n">
        <v>0.8333333333333334</v>
      </c>
      <c r="O7" s="61" t="inlineStr">
        <is>
          <t>Guru</t>
        </is>
      </c>
      <c r="P7" s="32" t="n">
        <v>0.4583333333333333</v>
      </c>
      <c r="Q7" s="19" t="inlineStr">
        <is>
          <t>Guru</t>
        </is>
      </c>
      <c r="R7" s="60" t="n">
        <v>0.8333333333333334</v>
      </c>
      <c r="S7" s="61" t="inlineStr">
        <is>
          <t>Guru</t>
        </is>
      </c>
      <c r="T7" s="61" t="n"/>
      <c r="U7" s="61" t="n"/>
      <c r="V7" s="61" t="n"/>
      <c r="W7" s="61" t="n"/>
      <c r="X7" s="61" t="n"/>
      <c r="Y7" s="61" t="n"/>
      <c r="Z7" s="61" t="n"/>
      <c r="AA7" s="61" t="n"/>
      <c r="AB7" s="60" t="n">
        <v>0.8333333333333334</v>
      </c>
      <c r="AC7" s="61" t="inlineStr">
        <is>
          <t>Guru</t>
        </is>
      </c>
      <c r="AD7" s="32" t="n">
        <v>0.4583333333333333</v>
      </c>
      <c r="AE7" s="19" t="inlineStr">
        <is>
          <t>Guru</t>
        </is>
      </c>
      <c r="AF7" s="60" t="n">
        <v>0.8333333333333334</v>
      </c>
      <c r="AG7" s="61" t="inlineStr">
        <is>
          <t>Guru</t>
        </is>
      </c>
      <c r="AH7" s="61" t="n"/>
      <c r="AI7" s="61" t="n"/>
      <c r="AJ7" s="61" t="n"/>
      <c r="AK7" s="61" t="n"/>
      <c r="AL7" s="61" t="n"/>
      <c r="AM7" s="61" t="n"/>
      <c r="AN7" s="61" t="n"/>
      <c r="AO7" s="61" t="n"/>
      <c r="AP7" s="60" t="n">
        <v>0.8333333333333334</v>
      </c>
      <c r="AQ7" s="61" t="inlineStr">
        <is>
          <t>Guru</t>
        </is>
      </c>
      <c r="AR7" s="32" t="n">
        <v>0.4583333333333333</v>
      </c>
      <c r="AS7" s="19" t="inlineStr">
        <is>
          <t>Guru</t>
        </is>
      </c>
      <c r="AT7" s="60" t="n">
        <v>0.8333333333333334</v>
      </c>
      <c r="AU7" s="61" t="inlineStr">
        <is>
          <t>Guru</t>
        </is>
      </c>
      <c r="AV7" s="61" t="n"/>
      <c r="AW7" s="61" t="n"/>
      <c r="AX7" s="61" t="n"/>
      <c r="AY7" s="61" t="n"/>
      <c r="AZ7" s="61" t="n"/>
      <c r="BA7" s="61" t="n"/>
      <c r="BB7" s="61" t="n"/>
      <c r="BC7" s="61" t="n"/>
      <c r="BD7" s="60" t="n">
        <v>0.8333333333333334</v>
      </c>
      <c r="BE7" s="61" t="inlineStr">
        <is>
          <t>Guru</t>
        </is>
      </c>
      <c r="BF7" s="32" t="n">
        <v>0.4583333333333333</v>
      </c>
      <c r="BG7" s="19" t="inlineStr">
        <is>
          <t>Guru</t>
        </is>
      </c>
      <c r="BH7" s="61" t="n"/>
      <c r="BI7" s="61" t="n"/>
      <c r="BJ7" s="61" t="n"/>
      <c r="BK7" s="61" t="n"/>
      <c r="BL7" s="61" t="n"/>
      <c r="BM7" s="61" t="n"/>
      <c r="BN7" s="61" t="n"/>
      <c r="BO7" s="61" t="n"/>
      <c r="BP7" s="61" t="n"/>
      <c r="BQ7" s="61" t="n"/>
      <c r="BR7" s="60" t="n">
        <v>0.8333333333333334</v>
      </c>
      <c r="BS7" s="61" t="inlineStr">
        <is>
          <t>Guru</t>
        </is>
      </c>
      <c r="BT7" s="16" t="n"/>
      <c r="BU7" s="61">
        <f>MIN(G7,12)</f>
        <v/>
      </c>
      <c r="BV7" s="61">
        <f>COUNT(J7:W7)</f>
        <v/>
      </c>
      <c r="BW7" s="61">
        <f>COUNT(X7:AK7)</f>
        <v/>
      </c>
      <c r="BX7" s="61">
        <f>COUNT(AL7:AY7)</f>
        <v/>
      </c>
      <c r="BY7" s="61">
        <f>COUNT(AZ7:BS7)</f>
        <v/>
      </c>
      <c r="BZ7" s="61">
        <f>IF(AND(H7=$BU7,BV7&gt;=INT($BU7/4),BV7&lt;=INT($BU7/4)+IF(MOD($BU7,4)&gt;0,1,0),BW7&gt;=INT($BU7/4),BW7&lt;=INT($BU7/4)+IF(MOD($BU7,4)&gt;0,1,0),BX7&gt;=INT($BU7/4),BX7&lt;=INT($BU7/4)+IF(MOD($BU7,4)&gt;0,1,0),BY7&gt;=INT($BU7/4),BY7&lt;=INT($BU7/4)+IF(MOD($BU7,4)&gt;0,1,0)),"OK","CHECK")</f>
        <v/>
      </c>
    </row>
    <row r="8" ht="15" customHeight="1">
      <c r="A8" s="16" t="inlineStr">
        <is>
          <t>V. Srikaviyazhini</t>
        </is>
      </c>
      <c r="B8" s="16" t="inlineStr">
        <is>
          <t>MKS00131</t>
        </is>
      </c>
      <c r="C8" s="16" t="n">
        <v>3.2</v>
      </c>
      <c r="D8" s="28" t="inlineStr">
        <is>
          <t>Beginner</t>
        </is>
      </c>
      <c r="E8" s="28" t="inlineStr">
        <is>
          <t>G Beginner2</t>
        </is>
      </c>
      <c r="F8" s="16" t="n"/>
      <c r="G8" s="61" t="n">
        <v>12</v>
      </c>
      <c r="H8" s="61">
        <f>COUNT(J8:BS8)</f>
        <v/>
      </c>
      <c r="I8" s="63">
        <f>G8-H8</f>
        <v/>
      </c>
      <c r="J8" s="61" t="n"/>
      <c r="K8" s="61" t="n"/>
      <c r="L8" s="61" t="n"/>
      <c r="M8" s="61" t="n"/>
      <c r="N8" s="60" t="n">
        <v>0.8333333333333334</v>
      </c>
      <c r="O8" s="61" t="inlineStr">
        <is>
          <t>Guru</t>
        </is>
      </c>
      <c r="P8" s="32" t="n">
        <v>0.4583333333333333</v>
      </c>
      <c r="Q8" s="19" t="inlineStr">
        <is>
          <t>Hema</t>
        </is>
      </c>
      <c r="R8" s="60" t="n">
        <v>0.8333333333333334</v>
      </c>
      <c r="S8" s="61" t="inlineStr">
        <is>
          <t>Guru</t>
        </is>
      </c>
      <c r="T8" s="61" t="n"/>
      <c r="U8" s="61" t="n"/>
      <c r="V8" s="61" t="n"/>
      <c r="W8" s="61" t="n"/>
      <c r="X8" s="61" t="n"/>
      <c r="Y8" s="61" t="n"/>
      <c r="Z8" s="61" t="n"/>
      <c r="AA8" s="61" t="n"/>
      <c r="AB8" s="60" t="n">
        <v>0.8333333333333334</v>
      </c>
      <c r="AC8" s="61" t="inlineStr">
        <is>
          <t>Guru</t>
        </is>
      </c>
      <c r="AD8" s="32" t="n">
        <v>0.4583333333333333</v>
      </c>
      <c r="AE8" s="19" t="inlineStr">
        <is>
          <t>Hema</t>
        </is>
      </c>
      <c r="AF8" s="60" t="n">
        <v>0.8333333333333334</v>
      </c>
      <c r="AG8" s="61" t="inlineStr">
        <is>
          <t>Guru</t>
        </is>
      </c>
      <c r="AH8" s="61" t="n"/>
      <c r="AI8" s="61" t="n"/>
      <c r="AJ8" s="61" t="n"/>
      <c r="AK8" s="61" t="n"/>
      <c r="AL8" s="61" t="n"/>
      <c r="AM8" s="61" t="n"/>
      <c r="AN8" s="61" t="n"/>
      <c r="AO8" s="61" t="n"/>
      <c r="AP8" s="60" t="n">
        <v>0.8333333333333334</v>
      </c>
      <c r="AQ8" s="61" t="inlineStr">
        <is>
          <t>Guru</t>
        </is>
      </c>
      <c r="AR8" s="32" t="n">
        <v>0.4583333333333333</v>
      </c>
      <c r="AS8" s="19" t="inlineStr">
        <is>
          <t>Hema</t>
        </is>
      </c>
      <c r="AT8" s="60" t="n">
        <v>0.8333333333333334</v>
      </c>
      <c r="AU8" s="61" t="inlineStr">
        <is>
          <t>Guru</t>
        </is>
      </c>
      <c r="AV8" s="61" t="n"/>
      <c r="AW8" s="61" t="n"/>
      <c r="AX8" s="61" t="n"/>
      <c r="AY8" s="61" t="n"/>
      <c r="AZ8" s="61" t="n"/>
      <c r="BA8" s="61" t="n"/>
      <c r="BB8" s="61" t="n"/>
      <c r="BC8" s="61" t="n"/>
      <c r="BD8" s="54" t="n">
        <v>0.8333333333333334</v>
      </c>
      <c r="BE8" s="55" t="inlineStr">
        <is>
          <t>Guru</t>
        </is>
      </c>
      <c r="BF8" s="32" t="n">
        <v>0.4583333333333333</v>
      </c>
      <c r="BG8" s="19" t="inlineStr">
        <is>
          <t>Hema</t>
        </is>
      </c>
      <c r="BH8" s="60" t="n">
        <v>0.8333333333333334</v>
      </c>
      <c r="BI8" s="61" t="inlineStr">
        <is>
          <t>Guru</t>
        </is>
      </c>
      <c r="BJ8" s="61" t="n"/>
      <c r="BK8" s="61" t="n"/>
      <c r="BL8" s="61" t="n"/>
      <c r="BM8" s="61" t="n"/>
      <c r="BN8" s="61" t="n"/>
      <c r="BO8" s="61" t="n"/>
      <c r="BP8" s="61" t="n"/>
      <c r="BQ8" s="61" t="n"/>
      <c r="BR8" s="60" t="n"/>
      <c r="BS8" s="61" t="n"/>
      <c r="BT8" s="16" t="n"/>
      <c r="BU8" s="61">
        <f>MIN(G8,12)</f>
        <v/>
      </c>
      <c r="BV8" s="61">
        <f>COUNT(J8:W8)</f>
        <v/>
      </c>
      <c r="BW8" s="61">
        <f>COUNT(X8:AK8)</f>
        <v/>
      </c>
      <c r="BX8" s="61">
        <f>COUNT(AL8:AY8)</f>
        <v/>
      </c>
      <c r="BY8" s="61">
        <f>COUNT(AZ8:BS8)</f>
        <v/>
      </c>
      <c r="BZ8" s="61">
        <f>IF(AND(H8=$BU8,BV8&gt;=INT($BU8/4),BV8&lt;=INT($BU8/4)+IF(MOD($BU8,4)&gt;0,1,0),BW8&gt;=INT($BU8/4),BW8&lt;=INT($BU8/4)+IF(MOD($BU8,4)&gt;0,1,0),BX8&gt;=INT($BU8/4),BX8&lt;=INT($BU8/4)+IF(MOD($BU8,4)&gt;0,1,0),BY8&gt;=INT($BU8/4),BY8&lt;=INT($BU8/4)+IF(MOD($BU8,4)&gt;0,1,0)),"OK","CHECK")</f>
        <v/>
      </c>
    </row>
    <row r="9" ht="15" customHeight="1">
      <c r="A9" s="16" t="inlineStr">
        <is>
          <t>Viraaj Shanmugam</t>
        </is>
      </c>
      <c r="B9" s="16" t="inlineStr">
        <is>
          <t>MKS00153</t>
        </is>
      </c>
      <c r="C9" s="16" t="n">
        <v>2</v>
      </c>
      <c r="D9" s="16" t="inlineStr">
        <is>
          <t>Basic</t>
        </is>
      </c>
      <c r="E9" s="16" t="inlineStr">
        <is>
          <t>I Basic2</t>
        </is>
      </c>
      <c r="F9" s="16" t="n"/>
      <c r="G9" s="61" t="n">
        <v>9</v>
      </c>
      <c r="H9" s="61">
        <f>COUNT(J9:BS9)</f>
        <v/>
      </c>
      <c r="I9" s="63">
        <f>G9-H9</f>
        <v/>
      </c>
      <c r="J9" s="61" t="n"/>
      <c r="K9" s="61" t="n"/>
      <c r="L9" s="61" t="n"/>
      <c r="M9" s="61" t="n"/>
      <c r="N9" s="60" t="n">
        <v>0.4166666666666667</v>
      </c>
      <c r="O9" s="61" t="inlineStr">
        <is>
          <t>Bathri</t>
        </is>
      </c>
      <c r="P9" s="32" t="n">
        <v>0.4166666666666667</v>
      </c>
      <c r="Q9" s="19" t="inlineStr">
        <is>
          <t>Bathri</t>
        </is>
      </c>
      <c r="R9" s="61" t="n"/>
      <c r="S9" s="61" t="n"/>
      <c r="T9" s="61" t="n"/>
      <c r="U9" s="61" t="n"/>
      <c r="V9" s="61" t="n"/>
      <c r="W9" s="61" t="n"/>
      <c r="X9" s="61" t="n"/>
      <c r="Y9" s="61" t="n"/>
      <c r="Z9" s="61" t="n"/>
      <c r="AA9" s="61" t="n"/>
      <c r="AB9" s="60" t="n">
        <v>0.4166666666666667</v>
      </c>
      <c r="AC9" s="61" t="inlineStr">
        <is>
          <t>Bathri</t>
        </is>
      </c>
      <c r="AD9" s="32" t="n">
        <v>0.4166666666666667</v>
      </c>
      <c r="AE9" s="19" t="inlineStr">
        <is>
          <t>Bathri</t>
        </is>
      </c>
      <c r="AF9" s="61" t="n"/>
      <c r="AG9" s="61" t="n"/>
      <c r="AH9" s="61" t="n"/>
      <c r="AI9" s="61" t="n"/>
      <c r="AJ9" s="61" t="n"/>
      <c r="AK9" s="61" t="n"/>
      <c r="AL9" s="61" t="n"/>
      <c r="AM9" s="61" t="n"/>
      <c r="AN9" s="61" t="n"/>
      <c r="AO9" s="61" t="n"/>
      <c r="AP9" s="60" t="n">
        <v>0.4166666666666667</v>
      </c>
      <c r="AQ9" s="61" t="inlineStr">
        <is>
          <t>Bathri</t>
        </is>
      </c>
      <c r="AR9" s="32" t="n">
        <v>0.4166666666666667</v>
      </c>
      <c r="AS9" s="19" t="inlineStr">
        <is>
          <t>Bathri</t>
        </is>
      </c>
      <c r="AT9" s="61" t="n"/>
      <c r="AU9" s="61" t="n"/>
      <c r="AV9" s="61" t="n"/>
      <c r="AW9" s="61" t="n"/>
      <c r="AX9" s="61" t="n"/>
      <c r="AY9" s="61" t="n"/>
      <c r="AZ9" s="61" t="n"/>
      <c r="BA9" s="61" t="n"/>
      <c r="BB9" s="61" t="n"/>
      <c r="BC9" s="61" t="n"/>
      <c r="BD9" s="54" t="n">
        <v>0.4166666666666667</v>
      </c>
      <c r="BE9" s="55" t="inlineStr">
        <is>
          <t>Bathri</t>
        </is>
      </c>
      <c r="BF9" s="32" t="n">
        <v>0.4166666666666667</v>
      </c>
      <c r="BG9" s="19" t="inlineStr">
        <is>
          <t>Bathri</t>
        </is>
      </c>
      <c r="BH9" s="61" t="n"/>
      <c r="BI9" s="61" t="n"/>
      <c r="BJ9" s="61" t="n"/>
      <c r="BK9" s="61" t="n"/>
      <c r="BL9" s="61" t="n"/>
      <c r="BM9" s="61" t="n"/>
      <c r="BN9" s="61" t="n"/>
      <c r="BO9" s="61" t="n"/>
      <c r="BP9" s="61" t="n"/>
      <c r="BQ9" s="61" t="n"/>
      <c r="BR9" s="60" t="n">
        <v>0.4166666666666667</v>
      </c>
      <c r="BS9" s="61" t="inlineStr">
        <is>
          <t>Bathri</t>
        </is>
      </c>
      <c r="BT9" s="16" t="n"/>
      <c r="BU9" s="61">
        <f>MIN(G9,12)</f>
        <v/>
      </c>
      <c r="BV9" s="61">
        <f>COUNT(J9:W9)</f>
        <v/>
      </c>
      <c r="BW9" s="61">
        <f>COUNT(X9:AK9)</f>
        <v/>
      </c>
      <c r="BX9" s="61">
        <f>COUNT(AL9:AY9)</f>
        <v/>
      </c>
      <c r="BY9" s="61">
        <f>COUNT(AZ9:BS9)</f>
        <v/>
      </c>
      <c r="BZ9" s="61">
        <f>IF(AND(H9=$BU9,BV9&gt;=INT($BU9/4),BV9&lt;=INT($BU9/4)+IF(MOD($BU9,4)&gt;0,1,0),BW9&gt;=INT($BU9/4),BW9&lt;=INT($BU9/4)+IF(MOD($BU9,4)&gt;0,1,0),BX9&gt;=INT($BU9/4),BX9&lt;=INT($BU9/4)+IF(MOD($BU9,4)&gt;0,1,0),BY9&gt;=INT($BU9/4),BY9&lt;=INT($BU9/4)+IF(MOD($BU9,4)&gt;0,1,0)),"OK","CHECK")</f>
        <v/>
      </c>
    </row>
    <row r="10" ht="15" customHeight="1">
      <c r="A10" s="16" t="inlineStr">
        <is>
          <t>Vedh Pabba</t>
        </is>
      </c>
      <c r="B10" s="16" t="inlineStr">
        <is>
          <t>MKS00190</t>
        </is>
      </c>
      <c r="C10" s="16" t="n">
        <v>2.9</v>
      </c>
      <c r="D10" s="16" t="inlineStr">
        <is>
          <t>Beginner</t>
        </is>
      </c>
      <c r="E10" s="16" t="inlineStr">
        <is>
          <t>I Beginner2</t>
        </is>
      </c>
      <c r="F10" s="16" t="n"/>
      <c r="G10" s="61" t="n">
        <v>8</v>
      </c>
      <c r="H10" s="61">
        <f>COUNT(J10:BS10)</f>
        <v/>
      </c>
      <c r="I10" s="63">
        <f>G10-H10</f>
        <v/>
      </c>
      <c r="J10" s="60" t="n">
        <v>0.25</v>
      </c>
      <c r="K10" s="61" t="inlineStr">
        <is>
          <t>Bathri</t>
        </is>
      </c>
      <c r="L10" s="35" t="n">
        <v>0.25</v>
      </c>
      <c r="M10" s="61" t="inlineStr">
        <is>
          <t>Bathri</t>
        </is>
      </c>
      <c r="N10" s="61" t="n"/>
      <c r="O10" s="61" t="n"/>
      <c r="P10" s="19" t="n"/>
      <c r="Q10" s="19" t="n"/>
      <c r="R10" s="61" t="n"/>
      <c r="S10" s="61" t="n"/>
      <c r="T10" s="61" t="n"/>
      <c r="U10" s="61" t="n"/>
      <c r="V10" s="61" t="n"/>
      <c r="W10" s="61" t="n"/>
      <c r="X10" s="60" t="n">
        <v>0.25</v>
      </c>
      <c r="Y10" s="61" t="inlineStr">
        <is>
          <t>Bathri</t>
        </is>
      </c>
      <c r="Z10" s="60" t="n">
        <v>0.25</v>
      </c>
      <c r="AA10" s="61" t="inlineStr">
        <is>
          <t>Bathri</t>
        </is>
      </c>
      <c r="AB10" s="61" t="n"/>
      <c r="AC10" s="61" t="n"/>
      <c r="AD10" s="19" t="n"/>
      <c r="AE10" s="19" t="n"/>
      <c r="AF10" s="61" t="n"/>
      <c r="AG10" s="61" t="n"/>
      <c r="AH10" s="61" t="n"/>
      <c r="AI10" s="61" t="n"/>
      <c r="AJ10" s="61" t="n"/>
      <c r="AK10" s="61" t="n"/>
      <c r="AL10" s="60" t="n">
        <v>0.25</v>
      </c>
      <c r="AM10" s="61" t="inlineStr">
        <is>
          <t>Bathri</t>
        </is>
      </c>
      <c r="AN10" s="60" t="n">
        <v>0.25</v>
      </c>
      <c r="AO10" s="61" t="inlineStr">
        <is>
          <t>Bathri</t>
        </is>
      </c>
      <c r="AP10" s="61" t="n"/>
      <c r="AQ10" s="61" t="n"/>
      <c r="AR10" s="19" t="n"/>
      <c r="AS10" s="19" t="n"/>
      <c r="AT10" s="61" t="n"/>
      <c r="AU10" s="61" t="n"/>
      <c r="AV10" s="61" t="n"/>
      <c r="AW10" s="61" t="n"/>
      <c r="AX10" s="61" t="n"/>
      <c r="AY10" s="61" t="n"/>
      <c r="AZ10" s="61" t="n"/>
      <c r="BA10" s="61" t="n"/>
      <c r="BB10" s="60" t="n">
        <v>0.25</v>
      </c>
      <c r="BC10" s="61" t="inlineStr">
        <is>
          <t>Bathri</t>
        </is>
      </c>
      <c r="BD10" s="61" t="n"/>
      <c r="BE10" s="61" t="n"/>
      <c r="BF10" s="19" t="n"/>
      <c r="BG10" s="19" t="n"/>
      <c r="BH10" s="61" t="n"/>
      <c r="BI10" s="61" t="n"/>
      <c r="BJ10" s="61" t="n"/>
      <c r="BK10" s="61" t="n"/>
      <c r="BL10" s="61" t="n"/>
      <c r="BM10" s="61" t="n"/>
      <c r="BN10" s="61" t="n"/>
      <c r="BO10" s="61" t="n"/>
      <c r="BP10" s="60" t="n">
        <v>0.25</v>
      </c>
      <c r="BQ10" s="61" t="inlineStr">
        <is>
          <t>Bathri</t>
        </is>
      </c>
      <c r="BR10" s="61" t="n"/>
      <c r="BS10" s="61" t="n"/>
      <c r="BT10" s="16" t="n"/>
      <c r="BU10" s="61">
        <f>MIN(G10,12)</f>
        <v/>
      </c>
      <c r="BV10" s="61">
        <f>COUNT(J10:W10)</f>
        <v/>
      </c>
      <c r="BW10" s="61">
        <f>COUNT(X10:AK10)</f>
        <v/>
      </c>
      <c r="BX10" s="61">
        <f>COUNT(AL10:AY10)</f>
        <v/>
      </c>
      <c r="BY10" s="61">
        <f>COUNT(AZ10:BS10)</f>
        <v/>
      </c>
      <c r="BZ10" s="61">
        <f>IF(AND(H10=$BU10,BV10&gt;=INT($BU10/4),BV10&lt;=INT($BU10/4)+IF(MOD($BU10,4)&gt;0,1,0),BW10&gt;=INT($BU10/4),BW10&lt;=INT($BU10/4)+IF(MOD($BU10,4)&gt;0,1,0),BX10&gt;=INT($BU10/4),BX10&lt;=INT($BU10/4)+IF(MOD($BU10,4)&gt;0,1,0),BY10&gt;=INT($BU10/4),BY10&lt;=INT($BU10/4)+IF(MOD($BU10,4)&gt;0,1,0)),"OK","CHECK")</f>
        <v/>
      </c>
    </row>
    <row r="11" ht="15" customHeight="1">
      <c r="A11" s="16" t="inlineStr">
        <is>
          <t>Selvakrishna RK</t>
        </is>
      </c>
      <c r="B11" s="16" t="inlineStr">
        <is>
          <t>MKS00167</t>
        </is>
      </c>
      <c r="C11" s="16" t="n">
        <v>6.6</v>
      </c>
      <c r="D11" s="16" t="inlineStr">
        <is>
          <t>Intermediate</t>
        </is>
      </c>
      <c r="E11" s="16" t="inlineStr">
        <is>
          <t>G Intermediate2</t>
        </is>
      </c>
      <c r="F11" s="16" t="inlineStr">
        <is>
          <t>Cant combine with Limited batch on Sunday</t>
        </is>
      </c>
      <c r="G11" s="61" t="n">
        <v>12</v>
      </c>
      <c r="H11" s="61">
        <f>COUNT(J11:BS11)</f>
        <v/>
      </c>
      <c r="I11" s="63">
        <f>G11-H11</f>
        <v/>
      </c>
      <c r="J11" s="37" t="n">
        <v>0.7291666666666666</v>
      </c>
      <c r="K11" s="38" t="inlineStr">
        <is>
          <t>Arshath</t>
        </is>
      </c>
      <c r="L11" s="22" t="n">
        <v>0.7291666666666666</v>
      </c>
      <c r="M11" s="23" t="inlineStr">
        <is>
          <t>Arshath</t>
        </is>
      </c>
      <c r="N11" s="60" t="n">
        <v>0.75</v>
      </c>
      <c r="O11" s="61" t="inlineStr">
        <is>
          <t>Arshath</t>
        </is>
      </c>
      <c r="P11" s="26" t="n"/>
      <c r="Q11" s="27" t="n"/>
      <c r="R11" s="61" t="n"/>
      <c r="S11" s="61" t="n"/>
      <c r="T11" s="61" t="n"/>
      <c r="U11" s="61" t="n"/>
      <c r="V11" s="61" t="n"/>
      <c r="W11" s="61" t="n"/>
      <c r="X11" s="37" t="n">
        <v>0.7291666666666666</v>
      </c>
      <c r="Y11" s="38" t="inlineStr">
        <is>
          <t>Arshath</t>
        </is>
      </c>
      <c r="Z11" s="37" t="n">
        <v>0.7291666666666666</v>
      </c>
      <c r="AA11" s="38" t="inlineStr">
        <is>
          <t>Arshath</t>
        </is>
      </c>
      <c r="AB11" s="60" t="n">
        <v>0.75</v>
      </c>
      <c r="AC11" s="61" t="inlineStr">
        <is>
          <t>Arshath</t>
        </is>
      </c>
      <c r="AD11" s="24" t="n"/>
      <c r="AE11" s="25" t="n"/>
      <c r="AF11" s="61" t="n"/>
      <c r="AG11" s="61" t="n"/>
      <c r="AH11" s="61" t="n"/>
      <c r="AI11" s="61" t="n"/>
      <c r="AJ11" s="61" t="n"/>
      <c r="AK11" s="61" t="n"/>
      <c r="AL11" s="37" t="n">
        <v>0.7291666666666666</v>
      </c>
      <c r="AM11" s="38" t="inlineStr">
        <is>
          <t>Arshath</t>
        </is>
      </c>
      <c r="AN11" s="37" t="n">
        <v>0.7291666666666666</v>
      </c>
      <c r="AO11" s="38" t="inlineStr">
        <is>
          <t>Arshath</t>
        </is>
      </c>
      <c r="AP11" s="60" t="n">
        <v>0.75</v>
      </c>
      <c r="AQ11" s="61" t="inlineStr">
        <is>
          <t>Arshath</t>
        </is>
      </c>
      <c r="AR11" s="60" t="n"/>
      <c r="AS11" s="61" t="n"/>
      <c r="AT11" s="37" t="n"/>
      <c r="AU11" s="38" t="n"/>
      <c r="AV11" s="37" t="n"/>
      <c r="AW11" s="38" t="n"/>
      <c r="AX11" s="37" t="n"/>
      <c r="AY11" s="38" t="n"/>
      <c r="AZ11" s="37" t="n">
        <v>0.7291666666666666</v>
      </c>
      <c r="BA11" s="38" t="inlineStr">
        <is>
          <t>Arshath</t>
        </is>
      </c>
      <c r="BB11" s="37" t="n">
        <v>0.7291666666666666</v>
      </c>
      <c r="BC11" s="38" t="inlineStr">
        <is>
          <t>Arshath</t>
        </is>
      </c>
      <c r="BD11" s="61" t="n"/>
      <c r="BE11" s="61" t="n"/>
      <c r="BF11" s="19" t="n"/>
      <c r="BG11" s="19" t="n"/>
      <c r="BH11" s="61" t="n"/>
      <c r="BI11" s="61" t="n"/>
      <c r="BJ11" s="61" t="n"/>
      <c r="BK11" s="61" t="n"/>
      <c r="BL11" s="61" t="n"/>
      <c r="BM11" s="61" t="n"/>
      <c r="BN11" s="60" t="n"/>
      <c r="BO11" s="61" t="n"/>
      <c r="BP11" s="83" t="n">
        <v>0.7291666666666666</v>
      </c>
      <c r="BQ11" s="84" t="inlineStr">
        <is>
          <t>Arshath</t>
        </is>
      </c>
      <c r="BR11" s="60" t="n"/>
      <c r="BS11" s="61" t="n"/>
      <c r="BT11" s="16" t="n"/>
      <c r="BU11" s="61">
        <f>MIN(G11,12)</f>
        <v/>
      </c>
      <c r="BV11" s="61">
        <f>COUNT(J11:W11)</f>
        <v/>
      </c>
      <c r="BW11" s="61">
        <f>COUNT(X11:AK11)</f>
        <v/>
      </c>
      <c r="BX11" s="61">
        <f>COUNT(AL11:AY11)</f>
        <v/>
      </c>
      <c r="BY11" s="61">
        <f>COUNT(AZ11:BS11)</f>
        <v/>
      </c>
      <c r="BZ11" s="61">
        <f>IF(AND(H11=$BU11,BV11&gt;=INT($BU11/4),BV11&lt;=INT($BU11/4)+IF(MOD($BU11,4)&gt;0,1,0),BW11&gt;=INT($BU11/4),BW11&lt;=INT($BU11/4)+IF(MOD($BU11,4)&gt;0,1,0),BX11&gt;=INT($BU11/4),BX11&lt;=INT($BU11/4)+IF(MOD($BU11,4)&gt;0,1,0),BY11&gt;=INT($BU11/4),BY11&lt;=INT($BU11/4)+IF(MOD($BU11,4)&gt;0,1,0)),"OK","CHECK")</f>
        <v/>
      </c>
    </row>
    <row r="12" ht="15" customHeight="1">
      <c r="A12" s="16" t="inlineStr">
        <is>
          <t>Sarvin</t>
        </is>
      </c>
      <c r="B12" s="16" t="inlineStr">
        <is>
          <t>MKS00060</t>
        </is>
      </c>
      <c r="C12" s="16" t="n">
        <v>7.6</v>
      </c>
      <c r="D12" s="16" t="inlineStr">
        <is>
          <t>Intermediate</t>
        </is>
      </c>
      <c r="E12" s="16" t="inlineStr">
        <is>
          <t>G Intermediate2</t>
        </is>
      </c>
      <c r="F12" s="16" t="inlineStr">
        <is>
          <t>Cant combine with Limited batch on Sunday</t>
        </is>
      </c>
      <c r="G12" s="61" t="n">
        <v>12</v>
      </c>
      <c r="H12" s="61">
        <f>COUNT(J12:BS12)</f>
        <v/>
      </c>
      <c r="I12" s="63">
        <f>G12-H12</f>
        <v/>
      </c>
      <c r="J12" s="37" t="n">
        <v>0.7291666666666666</v>
      </c>
      <c r="K12" s="38" t="inlineStr">
        <is>
          <t>Arshath</t>
        </is>
      </c>
      <c r="L12" s="22" t="n">
        <v>0.7291666666666666</v>
      </c>
      <c r="M12" s="23" t="inlineStr">
        <is>
          <t>Arshath</t>
        </is>
      </c>
      <c r="N12" s="60" t="n">
        <v>0.75</v>
      </c>
      <c r="O12" s="61" t="inlineStr">
        <is>
          <t>Arshath</t>
        </is>
      </c>
      <c r="P12" s="26" t="n"/>
      <c r="Q12" s="27" t="n"/>
      <c r="R12" s="61" t="n"/>
      <c r="S12" s="61" t="n"/>
      <c r="T12" s="61" t="n"/>
      <c r="U12" s="61" t="n"/>
      <c r="V12" s="61" t="n"/>
      <c r="W12" s="61" t="n"/>
      <c r="X12" s="37" t="n">
        <v>0.7291666666666666</v>
      </c>
      <c r="Y12" s="38" t="inlineStr">
        <is>
          <t>Arshath</t>
        </is>
      </c>
      <c r="Z12" s="37" t="n">
        <v>0.7291666666666666</v>
      </c>
      <c r="AA12" s="38" t="inlineStr">
        <is>
          <t>Arshath</t>
        </is>
      </c>
      <c r="AB12" s="60" t="n">
        <v>0.75</v>
      </c>
      <c r="AC12" s="61" t="inlineStr">
        <is>
          <t>Arshath</t>
        </is>
      </c>
      <c r="AD12" s="24" t="n"/>
      <c r="AE12" s="25" t="n"/>
      <c r="AF12" s="61" t="n"/>
      <c r="AG12" s="61" t="n"/>
      <c r="AH12" s="61" t="n"/>
      <c r="AI12" s="61" t="n"/>
      <c r="AJ12" s="61" t="n"/>
      <c r="AK12" s="61" t="n"/>
      <c r="AL12" s="37" t="n">
        <v>0.7291666666666666</v>
      </c>
      <c r="AM12" s="38" t="inlineStr">
        <is>
          <t>Arshath</t>
        </is>
      </c>
      <c r="AN12" s="37" t="n">
        <v>0.7291666666666666</v>
      </c>
      <c r="AO12" s="38" t="inlineStr">
        <is>
          <t>Arshath</t>
        </is>
      </c>
      <c r="AP12" s="60" t="n">
        <v>0.75</v>
      </c>
      <c r="AQ12" s="61" t="inlineStr">
        <is>
          <t>Arshath</t>
        </is>
      </c>
      <c r="AR12" s="60" t="n"/>
      <c r="AS12" s="61" t="n"/>
      <c r="AT12" s="37" t="n"/>
      <c r="AU12" s="38" t="n"/>
      <c r="AV12" s="37" t="n"/>
      <c r="AW12" s="38" t="n"/>
      <c r="AX12" s="37" t="n"/>
      <c r="AY12" s="38" t="n"/>
      <c r="AZ12" s="37" t="n">
        <v>0.7291666666666666</v>
      </c>
      <c r="BA12" s="38" t="inlineStr">
        <is>
          <t>Arshath</t>
        </is>
      </c>
      <c r="BB12" s="37" t="n">
        <v>0.7291666666666666</v>
      </c>
      <c r="BC12" s="38" t="inlineStr">
        <is>
          <t>Arshath</t>
        </is>
      </c>
      <c r="BD12" s="61" t="n"/>
      <c r="BE12" s="61" t="n"/>
      <c r="BF12" s="19" t="n"/>
      <c r="BG12" s="19" t="n"/>
      <c r="BH12" s="61" t="n"/>
      <c r="BI12" s="61" t="n"/>
      <c r="BJ12" s="61" t="n"/>
      <c r="BK12" s="61" t="n"/>
      <c r="BL12" s="61" t="n"/>
      <c r="BM12" s="61" t="n"/>
      <c r="BN12" s="60" t="n"/>
      <c r="BO12" s="61" t="n"/>
      <c r="BP12" s="83" t="n">
        <v>0.7291666666666666</v>
      </c>
      <c r="BQ12" s="84" t="inlineStr">
        <is>
          <t>Arshath</t>
        </is>
      </c>
      <c r="BR12" s="60" t="n"/>
      <c r="BS12" s="61" t="n"/>
      <c r="BT12" s="16" t="n"/>
      <c r="BU12" s="61">
        <f>MIN(G12,12)</f>
        <v/>
      </c>
      <c r="BV12" s="61">
        <f>COUNT(J12:W12)</f>
        <v/>
      </c>
      <c r="BW12" s="61">
        <f>COUNT(X12:AK12)</f>
        <v/>
      </c>
      <c r="BX12" s="61">
        <f>COUNT(AL12:AY12)</f>
        <v/>
      </c>
      <c r="BY12" s="61">
        <f>COUNT(AZ12:BS12)</f>
        <v/>
      </c>
      <c r="BZ12" s="61">
        <f>IF(AND(H12=$BU12,BV12&gt;=INT($BU12/4),BV12&lt;=INT($BU12/4)+IF(MOD($BU12,4)&gt;0,1,0),BW12&gt;=INT($BU12/4),BW12&lt;=INT($BU12/4)+IF(MOD($BU12,4)&gt;0,1,0),BX12&gt;=INT($BU12/4),BX12&lt;=INT($BU12/4)+IF(MOD($BU12,4)&gt;0,1,0),BY12&gt;=INT($BU12/4),BY12&lt;=INT($BU12/4)+IF(MOD($BU12,4)&gt;0,1,0)),"OK","CHECK")</f>
        <v/>
      </c>
    </row>
    <row r="13" ht="15" customHeight="1">
      <c r="A13" s="16" t="inlineStr">
        <is>
          <t>YAASHVIN A/L SATEESHKUMAR</t>
        </is>
      </c>
      <c r="B13" s="16" t="inlineStr">
        <is>
          <t>MKS00065</t>
        </is>
      </c>
      <c r="C13" s="16" t="n">
        <v>6.9</v>
      </c>
      <c r="D13" s="16" t="inlineStr">
        <is>
          <t>Intermediate</t>
        </is>
      </c>
      <c r="E13" s="16" t="inlineStr">
        <is>
          <t>G Intermediate2</t>
        </is>
      </c>
      <c r="F13" s="45" t="inlineStr">
        <is>
          <t>Cant combine with Limited batch on Sunday</t>
        </is>
      </c>
      <c r="G13" s="61" t="n">
        <v>12</v>
      </c>
      <c r="H13" s="61">
        <f>COUNT(J13:BS13)</f>
        <v/>
      </c>
      <c r="I13" s="63">
        <f>G13-H13</f>
        <v/>
      </c>
      <c r="J13" s="37" t="n">
        <v>0.7291666666666666</v>
      </c>
      <c r="K13" s="38" t="inlineStr">
        <is>
          <t>Arshath</t>
        </is>
      </c>
      <c r="L13" s="22" t="n">
        <v>0.7291666666666666</v>
      </c>
      <c r="M13" s="23" t="inlineStr">
        <is>
          <t>Arshath</t>
        </is>
      </c>
      <c r="N13" s="60" t="n">
        <v>0.75</v>
      </c>
      <c r="O13" s="61" t="inlineStr">
        <is>
          <t>Arshath</t>
        </is>
      </c>
      <c r="P13" s="26" t="n"/>
      <c r="Q13" s="27" t="n"/>
      <c r="R13" s="61" t="n"/>
      <c r="S13" s="61" t="n"/>
      <c r="T13" s="61" t="n"/>
      <c r="U13" s="61" t="n"/>
      <c r="V13" s="61" t="n"/>
      <c r="W13" s="61" t="n"/>
      <c r="X13" s="37" t="n">
        <v>0.7291666666666666</v>
      </c>
      <c r="Y13" s="38" t="inlineStr">
        <is>
          <t>Arshath</t>
        </is>
      </c>
      <c r="Z13" s="37" t="n">
        <v>0.7291666666666666</v>
      </c>
      <c r="AA13" s="38" t="inlineStr">
        <is>
          <t>Arshath</t>
        </is>
      </c>
      <c r="AB13" s="60" t="n">
        <v>0.75</v>
      </c>
      <c r="AC13" s="61" t="inlineStr">
        <is>
          <t>Arshath</t>
        </is>
      </c>
      <c r="AD13" s="24" t="n"/>
      <c r="AE13" s="25" t="n"/>
      <c r="AF13" s="61" t="n"/>
      <c r="AG13" s="61" t="n"/>
      <c r="AH13" s="61" t="n"/>
      <c r="AI13" s="61" t="n"/>
      <c r="AJ13" s="61" t="n"/>
      <c r="AK13" s="61" t="n"/>
      <c r="AL13" s="37" t="n">
        <v>0.7291666666666666</v>
      </c>
      <c r="AM13" s="38" t="inlineStr">
        <is>
          <t>Arshath</t>
        </is>
      </c>
      <c r="AN13" s="37" t="n">
        <v>0.7291666666666666</v>
      </c>
      <c r="AO13" s="38" t="inlineStr">
        <is>
          <t>Arshath</t>
        </is>
      </c>
      <c r="AP13" s="60" t="n">
        <v>0.75</v>
      </c>
      <c r="AQ13" s="61" t="inlineStr">
        <is>
          <t>Arshath</t>
        </is>
      </c>
      <c r="AR13" s="60" t="n"/>
      <c r="AS13" s="61" t="n"/>
      <c r="AT13" s="37" t="n"/>
      <c r="AU13" s="38" t="n"/>
      <c r="AV13" s="37" t="n"/>
      <c r="AW13" s="38" t="n"/>
      <c r="AX13" s="37" t="n"/>
      <c r="AY13" s="38" t="n"/>
      <c r="AZ13" s="37" t="n">
        <v>0.7291666666666666</v>
      </c>
      <c r="BA13" s="38" t="inlineStr">
        <is>
          <t>Arshath</t>
        </is>
      </c>
      <c r="BB13" s="37" t="n">
        <v>0.7291666666666666</v>
      </c>
      <c r="BC13" s="38" t="inlineStr">
        <is>
          <t>Arshath</t>
        </is>
      </c>
      <c r="BD13" s="61" t="n"/>
      <c r="BE13" s="61" t="n"/>
      <c r="BF13" s="19" t="n"/>
      <c r="BG13" s="19" t="n"/>
      <c r="BH13" s="61" t="n"/>
      <c r="BI13" s="61" t="n"/>
      <c r="BJ13" s="61" t="n"/>
      <c r="BK13" s="61" t="n"/>
      <c r="BL13" s="61" t="n"/>
      <c r="BM13" s="61" t="n"/>
      <c r="BN13" s="61" t="n"/>
      <c r="BO13" s="61" t="n"/>
      <c r="BP13" s="83" t="n">
        <v>0.7291666666666666</v>
      </c>
      <c r="BQ13" s="84" t="inlineStr">
        <is>
          <t>Arshath</t>
        </is>
      </c>
      <c r="BR13" s="60" t="n"/>
      <c r="BS13" s="61" t="n"/>
      <c r="BT13" s="16" t="n"/>
      <c r="BU13" s="61">
        <f>MIN(G13,12)</f>
        <v/>
      </c>
      <c r="BV13" s="61">
        <f>COUNT(J13:W13)</f>
        <v/>
      </c>
      <c r="BW13" s="61">
        <f>COUNT(X13:AK13)</f>
        <v/>
      </c>
      <c r="BX13" s="61">
        <f>COUNT(AL13:AY13)</f>
        <v/>
      </c>
      <c r="BY13" s="61">
        <f>COUNT(AZ13:BS13)</f>
        <v/>
      </c>
      <c r="BZ13" s="61">
        <f>IF(AND(H13=$BU13,BV13&gt;=INT($BU13/4),BV13&lt;=INT($BU13/4)+IF(MOD($BU13,4)&gt;0,1,0),BW13&gt;=INT($BU13/4),BW13&lt;=INT($BU13/4)+IF(MOD($BU13,4)&gt;0,1,0),BX13&gt;=INT($BU13/4),BX13&lt;=INT($BU13/4)+IF(MOD($BU13,4)&gt;0,1,0),BY13&gt;=INT($BU13/4),BY13&lt;=INT($BU13/4)+IF(MOD($BU13,4)&gt;0,1,0)),"OK","CHECK")</f>
        <v/>
      </c>
    </row>
    <row r="14" ht="15" customHeight="1">
      <c r="A14" s="16" t="inlineStr">
        <is>
          <t>Sarvesh K</t>
        </is>
      </c>
      <c r="B14" s="16" t="inlineStr">
        <is>
          <t>MKS00175</t>
        </is>
      </c>
      <c r="C14" s="16" t="n">
        <v>3.2</v>
      </c>
      <c r="D14" s="16" t="inlineStr">
        <is>
          <t>Beginner</t>
        </is>
      </c>
      <c r="E14" s="16" t="inlineStr">
        <is>
          <t>G beginner1C</t>
        </is>
      </c>
      <c r="F14" s="16" t="n"/>
      <c r="G14" s="61" t="n">
        <v>12</v>
      </c>
      <c r="H14" s="61">
        <f>COUNT(J14:BS14)</f>
        <v/>
      </c>
      <c r="I14" s="63">
        <f>G14-H14</f>
        <v/>
      </c>
      <c r="J14" s="60" t="n">
        <v>0.75</v>
      </c>
      <c r="K14" s="61" t="inlineStr">
        <is>
          <t>Prakash</t>
        </is>
      </c>
      <c r="L14" s="61" t="n"/>
      <c r="M14" s="61" t="n"/>
      <c r="N14" s="61" t="n"/>
      <c r="O14" s="61" t="n"/>
      <c r="P14" s="32" t="n">
        <v>0.4583333333333333</v>
      </c>
      <c r="Q14" s="19" t="inlineStr">
        <is>
          <t>Guru</t>
        </is>
      </c>
      <c r="R14" s="61" t="n"/>
      <c r="S14" s="61" t="n"/>
      <c r="T14" s="60" t="n">
        <v>0.75</v>
      </c>
      <c r="U14" s="61" t="inlineStr">
        <is>
          <t>Prakash</t>
        </is>
      </c>
      <c r="V14" s="61" t="n"/>
      <c r="W14" s="61" t="n"/>
      <c r="X14" s="60" t="n">
        <v>0.75</v>
      </c>
      <c r="Y14" s="61" t="inlineStr">
        <is>
          <t>Prakash</t>
        </is>
      </c>
      <c r="Z14" s="61" t="n"/>
      <c r="AA14" s="61" t="n"/>
      <c r="AB14" s="61" t="n"/>
      <c r="AC14" s="61" t="n"/>
      <c r="AD14" s="32" t="n">
        <v>0.4583333333333333</v>
      </c>
      <c r="AE14" s="19" t="inlineStr">
        <is>
          <t>Guru</t>
        </is>
      </c>
      <c r="AF14" s="61" t="n"/>
      <c r="AG14" s="61" t="n"/>
      <c r="AH14" s="60" t="n">
        <v>0.75</v>
      </c>
      <c r="AI14" s="61" t="inlineStr">
        <is>
          <t>Prakash</t>
        </is>
      </c>
      <c r="AJ14" s="61" t="n"/>
      <c r="AK14" s="61" t="n"/>
      <c r="AL14" s="60" t="n">
        <v>0.75</v>
      </c>
      <c r="AM14" s="61" t="inlineStr">
        <is>
          <t>Prakash</t>
        </is>
      </c>
      <c r="AN14" s="61" t="n"/>
      <c r="AO14" s="61" t="n"/>
      <c r="AP14" s="61" t="n"/>
      <c r="AQ14" s="61" t="n"/>
      <c r="AR14" s="32" t="n">
        <v>0.4583333333333333</v>
      </c>
      <c r="AS14" s="19" t="inlineStr">
        <is>
          <t>Guru</t>
        </is>
      </c>
      <c r="AT14" s="61" t="n"/>
      <c r="AU14" s="61" t="n"/>
      <c r="AV14" s="60" t="n">
        <v>0.75</v>
      </c>
      <c r="AW14" s="61" t="inlineStr">
        <is>
          <t>Prakash</t>
        </is>
      </c>
      <c r="AX14" s="61" t="n"/>
      <c r="AY14" s="61" t="n"/>
      <c r="AZ14" s="60" t="n">
        <v>0.75</v>
      </c>
      <c r="BA14" s="61" t="inlineStr">
        <is>
          <t>Prakash</t>
        </is>
      </c>
      <c r="BB14" s="61" t="n"/>
      <c r="BC14" s="61" t="n"/>
      <c r="BD14" s="61" t="n"/>
      <c r="BE14" s="61" t="n"/>
      <c r="BF14" s="19" t="n"/>
      <c r="BG14" s="19" t="n"/>
      <c r="BH14" s="61" t="n"/>
      <c r="BI14" s="61" t="n"/>
      <c r="BJ14" s="60" t="n">
        <v>0.75</v>
      </c>
      <c r="BK14" s="61" t="inlineStr">
        <is>
          <t>Prakash</t>
        </is>
      </c>
      <c r="BL14" s="61" t="n"/>
      <c r="BM14" s="61" t="n"/>
      <c r="BN14" s="60" t="n">
        <v>0.75</v>
      </c>
      <c r="BO14" s="61" t="inlineStr">
        <is>
          <t>Prakash</t>
        </is>
      </c>
      <c r="BP14" s="61" t="n"/>
      <c r="BQ14" s="61" t="n"/>
      <c r="BR14" s="61" t="n"/>
      <c r="BS14" s="61" t="n"/>
      <c r="BT14" s="16" t="n"/>
      <c r="BU14" s="61">
        <f>MIN(G14,12)</f>
        <v/>
      </c>
      <c r="BV14" s="61">
        <f>COUNT(J14:W14)</f>
        <v/>
      </c>
      <c r="BW14" s="61">
        <f>COUNT(X14:AK14)</f>
        <v/>
      </c>
      <c r="BX14" s="61">
        <f>COUNT(AL14:AY14)</f>
        <v/>
      </c>
      <c r="BY14" s="61">
        <f>COUNT(AZ14:BS14)</f>
        <v/>
      </c>
      <c r="BZ14" s="61">
        <f>IF(AND(H14=$BU14,BV14&gt;=INT($BU14/4),BV14&lt;=INT($BU14/4)+IF(MOD($BU14,4)&gt;0,1,0),BW14&gt;=INT($BU14/4),BW14&lt;=INT($BU14/4)+IF(MOD($BU14,4)&gt;0,1,0),BX14&gt;=INT($BU14/4),BX14&lt;=INT($BU14/4)+IF(MOD($BU14,4)&gt;0,1,0),BY14&gt;=INT($BU14/4),BY14&lt;=INT($BU14/4)+IF(MOD($BU14,4)&gt;0,1,0)),"OK","CHECK")</f>
        <v/>
      </c>
    </row>
    <row r="15" ht="15" customHeight="1">
      <c r="A15" s="16" t="inlineStr">
        <is>
          <t>N.Charan</t>
        </is>
      </c>
      <c r="B15" s="16" t="inlineStr">
        <is>
          <t>MKS00148</t>
        </is>
      </c>
      <c r="C15" s="16" t="n">
        <v>2.8</v>
      </c>
      <c r="D15" s="16" t="inlineStr">
        <is>
          <t>Beginner</t>
        </is>
      </c>
      <c r="E15" s="16" t="inlineStr">
        <is>
          <t>G beginner1</t>
        </is>
      </c>
      <c r="F15" s="16" t="n"/>
      <c r="G15" s="61" t="n">
        <v>12</v>
      </c>
      <c r="H15" s="61">
        <f>COUNT(J15:BS15)</f>
        <v/>
      </c>
      <c r="I15" s="63">
        <f>G15-H15</f>
        <v/>
      </c>
      <c r="J15" s="60" t="n">
        <v>0.75</v>
      </c>
      <c r="K15" s="61" t="inlineStr">
        <is>
          <t>Prakash</t>
        </is>
      </c>
      <c r="L15" s="61" t="n"/>
      <c r="M15" s="61" t="n"/>
      <c r="N15" s="61" t="n"/>
      <c r="O15" s="61" t="n"/>
      <c r="P15" s="32" t="n">
        <v>0.4583333333333333</v>
      </c>
      <c r="Q15" s="19" t="inlineStr">
        <is>
          <t>Guru</t>
        </is>
      </c>
      <c r="R15" s="61" t="n"/>
      <c r="S15" s="61" t="n"/>
      <c r="T15" s="60" t="n">
        <v>0.75</v>
      </c>
      <c r="U15" s="61" t="inlineStr">
        <is>
          <t>Prakash</t>
        </is>
      </c>
      <c r="V15" s="61" t="n"/>
      <c r="W15" s="61" t="n"/>
      <c r="X15" s="60" t="n">
        <v>0.75</v>
      </c>
      <c r="Y15" s="61" t="inlineStr">
        <is>
          <t>Prakash</t>
        </is>
      </c>
      <c r="Z15" s="61" t="n"/>
      <c r="AA15" s="61" t="n"/>
      <c r="AB15" s="61" t="n"/>
      <c r="AC15" s="61" t="n"/>
      <c r="AD15" s="32" t="n">
        <v>0.4583333333333333</v>
      </c>
      <c r="AE15" s="19" t="inlineStr">
        <is>
          <t>Guru</t>
        </is>
      </c>
      <c r="AF15" s="61" t="n"/>
      <c r="AG15" s="61" t="n"/>
      <c r="AH15" s="60" t="n">
        <v>0.75</v>
      </c>
      <c r="AI15" s="61" t="inlineStr">
        <is>
          <t>Prakash</t>
        </is>
      </c>
      <c r="AJ15" s="61" t="n"/>
      <c r="AK15" s="61" t="n"/>
      <c r="AL15" s="60" t="n">
        <v>0.75</v>
      </c>
      <c r="AM15" s="61" t="inlineStr">
        <is>
          <t>Prakash</t>
        </is>
      </c>
      <c r="AN15" s="61" t="n"/>
      <c r="AO15" s="61" t="n"/>
      <c r="AP15" s="61" t="n"/>
      <c r="AQ15" s="61" t="n"/>
      <c r="AR15" s="32" t="n">
        <v>0.4583333333333333</v>
      </c>
      <c r="AS15" s="19" t="inlineStr">
        <is>
          <t>Guru</t>
        </is>
      </c>
      <c r="AT15" s="61" t="n"/>
      <c r="AU15" s="61" t="n"/>
      <c r="AV15" s="60" t="n">
        <v>0.75</v>
      </c>
      <c r="AW15" s="61" t="inlineStr">
        <is>
          <t>Prakash</t>
        </is>
      </c>
      <c r="AX15" s="61" t="n"/>
      <c r="AY15" s="61" t="n"/>
      <c r="AZ15" s="60" t="n">
        <v>0.75</v>
      </c>
      <c r="BA15" s="61" t="inlineStr">
        <is>
          <t>Prakash</t>
        </is>
      </c>
      <c r="BB15" s="61" t="n"/>
      <c r="BC15" s="61" t="n"/>
      <c r="BD15" s="61" t="n"/>
      <c r="BE15" s="61" t="n"/>
      <c r="BF15" s="19" t="n"/>
      <c r="BG15" s="19" t="n"/>
      <c r="BH15" s="61" t="n"/>
      <c r="BI15" s="61" t="n"/>
      <c r="BJ15" s="60" t="n">
        <v>0.75</v>
      </c>
      <c r="BK15" s="61" t="inlineStr">
        <is>
          <t>Prakash</t>
        </is>
      </c>
      <c r="BL15" s="61" t="n"/>
      <c r="BM15" s="61" t="n"/>
      <c r="BN15" s="60" t="n">
        <v>0.75</v>
      </c>
      <c r="BO15" s="61" t="inlineStr">
        <is>
          <t>Prakash</t>
        </is>
      </c>
      <c r="BP15" s="61" t="n"/>
      <c r="BQ15" s="61" t="n"/>
      <c r="BR15" s="61" t="n"/>
      <c r="BS15" s="61" t="n"/>
      <c r="BT15" s="16" t="n"/>
      <c r="BU15" s="61">
        <f>MIN(G15,12)</f>
        <v/>
      </c>
      <c r="BV15" s="61">
        <f>COUNT(J15:W15)</f>
        <v/>
      </c>
      <c r="BW15" s="61">
        <f>COUNT(X15:AK15)</f>
        <v/>
      </c>
      <c r="BX15" s="61">
        <f>COUNT(AL15:AY15)</f>
        <v/>
      </c>
      <c r="BY15" s="61">
        <f>COUNT(AZ15:BS15)</f>
        <v/>
      </c>
      <c r="BZ15" s="61">
        <f>IF(AND(H15=$BU15,BV15&gt;=INT($BU15/4),BV15&lt;=INT($BU15/4)+IF(MOD($BU15,4)&gt;0,1,0),BW15&gt;=INT($BU15/4),BW15&lt;=INT($BU15/4)+IF(MOD($BU15,4)&gt;0,1,0),BX15&gt;=INT($BU15/4),BX15&lt;=INT($BU15/4)+IF(MOD($BU15,4)&gt;0,1,0),BY15&gt;=INT($BU15/4),BY15&lt;=INT($BU15/4)+IF(MOD($BU15,4)&gt;0,1,0)),"OK","CHECK")</f>
        <v/>
      </c>
    </row>
    <row r="16" ht="15" customHeight="1">
      <c r="A16" s="16" t="inlineStr">
        <is>
          <t>Harini</t>
        </is>
      </c>
      <c r="B16" s="16" t="inlineStr">
        <is>
          <t>MKS00073</t>
        </is>
      </c>
      <c r="C16" s="16" t="n">
        <v>2.8</v>
      </c>
      <c r="D16" s="16" t="inlineStr">
        <is>
          <t>Beginner</t>
        </is>
      </c>
      <c r="E16" s="16" t="inlineStr">
        <is>
          <t>G Beginner2</t>
        </is>
      </c>
      <c r="F16" s="16" t="n"/>
      <c r="G16" s="61" t="n">
        <v>12</v>
      </c>
      <c r="H16" s="61">
        <f>COUNT(J16:BS16)</f>
        <v/>
      </c>
      <c r="I16" s="63">
        <f>G16-H16</f>
        <v/>
      </c>
      <c r="J16" s="60" t="n">
        <v>0.75</v>
      </c>
      <c r="K16" s="61" t="inlineStr">
        <is>
          <t>Prakash</t>
        </is>
      </c>
      <c r="L16" s="61" t="n"/>
      <c r="M16" s="61" t="n"/>
      <c r="N16" s="61" t="n"/>
      <c r="O16" s="61" t="n"/>
      <c r="P16" s="32" t="n">
        <v>0.4583333333333333</v>
      </c>
      <c r="Q16" s="19" t="inlineStr">
        <is>
          <t>Guru</t>
        </is>
      </c>
      <c r="R16" s="61" t="n"/>
      <c r="S16" s="61" t="n"/>
      <c r="T16" s="60" t="n">
        <v>0.75</v>
      </c>
      <c r="U16" s="61" t="inlineStr">
        <is>
          <t>Prakash</t>
        </is>
      </c>
      <c r="V16" s="61" t="n"/>
      <c r="W16" s="61" t="n"/>
      <c r="X16" s="60" t="n">
        <v>0.75</v>
      </c>
      <c r="Y16" s="61" t="inlineStr">
        <is>
          <t>Prakash</t>
        </is>
      </c>
      <c r="Z16" s="61" t="n"/>
      <c r="AA16" s="61" t="n"/>
      <c r="AB16" s="61" t="n"/>
      <c r="AC16" s="61" t="n"/>
      <c r="AD16" s="32" t="n">
        <v>0.4583333333333333</v>
      </c>
      <c r="AE16" s="19" t="inlineStr">
        <is>
          <t>Guru</t>
        </is>
      </c>
      <c r="AF16" s="61" t="n"/>
      <c r="AG16" s="61" t="n"/>
      <c r="AH16" s="60" t="n">
        <v>0.75</v>
      </c>
      <c r="AI16" s="61" t="inlineStr">
        <is>
          <t>Prakash</t>
        </is>
      </c>
      <c r="AJ16" s="61" t="n"/>
      <c r="AK16" s="61" t="n"/>
      <c r="AL16" s="60" t="n">
        <v>0.75</v>
      </c>
      <c r="AM16" s="61" t="inlineStr">
        <is>
          <t>Prakash</t>
        </is>
      </c>
      <c r="AN16" s="61" t="n"/>
      <c r="AO16" s="61" t="n"/>
      <c r="AP16" s="61" t="n"/>
      <c r="AQ16" s="61" t="n"/>
      <c r="AR16" s="32" t="n">
        <v>0.4583333333333333</v>
      </c>
      <c r="AS16" s="19" t="inlineStr">
        <is>
          <t>Guru</t>
        </is>
      </c>
      <c r="AT16" s="61" t="n"/>
      <c r="AU16" s="61" t="n"/>
      <c r="AV16" s="60" t="n">
        <v>0.75</v>
      </c>
      <c r="AW16" s="61" t="inlineStr">
        <is>
          <t>Prakash</t>
        </is>
      </c>
      <c r="AX16" s="61" t="n"/>
      <c r="AY16" s="61" t="n"/>
      <c r="AZ16" s="60" t="n">
        <v>0.75</v>
      </c>
      <c r="BA16" s="61" t="inlineStr">
        <is>
          <t>Prakash</t>
        </is>
      </c>
      <c r="BB16" s="61" t="n"/>
      <c r="BC16" s="61" t="n"/>
      <c r="BD16" s="61" t="n"/>
      <c r="BE16" s="61" t="n"/>
      <c r="BF16" s="32" t="n">
        <v>0.4583333333333333</v>
      </c>
      <c r="BG16" s="19" t="inlineStr">
        <is>
          <t>Guru</t>
        </is>
      </c>
      <c r="BH16" s="61" t="n"/>
      <c r="BI16" s="61" t="n"/>
      <c r="BJ16" s="61" t="n"/>
      <c r="BK16" s="61" t="n"/>
      <c r="BL16" s="61" t="n"/>
      <c r="BM16" s="61" t="n"/>
      <c r="BN16" s="60" t="n">
        <v>0.75</v>
      </c>
      <c r="BO16" s="61" t="inlineStr">
        <is>
          <t>Prakash</t>
        </is>
      </c>
      <c r="BP16" s="61" t="n"/>
      <c r="BQ16" s="61" t="n"/>
      <c r="BR16" s="61" t="n"/>
      <c r="BS16" s="61" t="n"/>
      <c r="BT16" s="16" t="n"/>
      <c r="BU16" s="61">
        <f>MIN(G16,12)</f>
        <v/>
      </c>
      <c r="BV16" s="61">
        <f>COUNT(J16:W16)</f>
        <v/>
      </c>
      <c r="BW16" s="61">
        <f>COUNT(X16:AK16)</f>
        <v/>
      </c>
      <c r="BX16" s="61">
        <f>COUNT(AL16:AY16)</f>
        <v/>
      </c>
      <c r="BY16" s="61">
        <f>COUNT(AZ16:BS16)</f>
        <v/>
      </c>
      <c r="BZ16" s="61">
        <f>IF(AND(H16=$BU16,BV16&gt;=INT($BU16/4),BV16&lt;=INT($BU16/4)+IF(MOD($BU16,4)&gt;0,1,0),BW16&gt;=INT($BU16/4),BW16&lt;=INT($BU16/4)+IF(MOD($BU16,4)&gt;0,1,0),BX16&gt;=INT($BU16/4),BX16&lt;=INT($BU16/4)+IF(MOD($BU16,4)&gt;0,1,0),BY16&gt;=INT($BU16/4),BY16&lt;=INT($BU16/4)+IF(MOD($BU16,4)&gt;0,1,0)),"OK","CHECK")</f>
        <v/>
      </c>
    </row>
    <row r="17" ht="15" customHeight="1">
      <c r="A17" s="16" t="inlineStr">
        <is>
          <t>MELWIN G</t>
        </is>
      </c>
      <c r="B17" s="16" t="inlineStr">
        <is>
          <t>MKS00100</t>
        </is>
      </c>
      <c r="C17" s="16" t="n">
        <v>3</v>
      </c>
      <c r="D17" s="16" t="inlineStr">
        <is>
          <t>Beginner</t>
        </is>
      </c>
      <c r="E17" s="16" t="inlineStr">
        <is>
          <t>G Beginner2</t>
        </is>
      </c>
      <c r="F17" s="16" t="n"/>
      <c r="G17" s="61" t="n">
        <v>12</v>
      </c>
      <c r="H17" s="61">
        <f>COUNT(J17:BS17)</f>
        <v/>
      </c>
      <c r="I17" s="63">
        <f>G17-H17</f>
        <v/>
      </c>
      <c r="J17" s="60" t="n">
        <v>0.75</v>
      </c>
      <c r="K17" s="61" t="inlineStr">
        <is>
          <t>Prakash</t>
        </is>
      </c>
      <c r="L17" s="61" t="n"/>
      <c r="M17" s="61" t="n"/>
      <c r="N17" s="61" t="n"/>
      <c r="O17" s="61" t="n"/>
      <c r="P17" s="32" t="n">
        <v>0.4583333333333333</v>
      </c>
      <c r="Q17" s="19" t="inlineStr">
        <is>
          <t>Guru</t>
        </is>
      </c>
      <c r="R17" s="61" t="n"/>
      <c r="S17" s="61" t="n"/>
      <c r="T17" s="60" t="n">
        <v>0.75</v>
      </c>
      <c r="U17" s="61" t="inlineStr">
        <is>
          <t>Prakash</t>
        </is>
      </c>
      <c r="V17" s="61" t="n"/>
      <c r="W17" s="61" t="n"/>
      <c r="X17" s="60" t="n">
        <v>0.75</v>
      </c>
      <c r="Y17" s="61" t="inlineStr">
        <is>
          <t>Prakash</t>
        </is>
      </c>
      <c r="Z17" s="61" t="n"/>
      <c r="AA17" s="61" t="n"/>
      <c r="AB17" s="61" t="n"/>
      <c r="AC17" s="61" t="n"/>
      <c r="AD17" s="32" t="n">
        <v>0.4583333333333333</v>
      </c>
      <c r="AE17" s="19" t="inlineStr">
        <is>
          <t>Guru</t>
        </is>
      </c>
      <c r="AF17" s="61" t="n"/>
      <c r="AG17" s="61" t="n"/>
      <c r="AH17" s="60" t="n">
        <v>0.75</v>
      </c>
      <c r="AI17" s="61" t="inlineStr">
        <is>
          <t>Prakash</t>
        </is>
      </c>
      <c r="AJ17" s="61" t="n"/>
      <c r="AK17" s="61" t="n"/>
      <c r="AL17" s="60" t="n">
        <v>0.75</v>
      </c>
      <c r="AM17" s="61" t="inlineStr">
        <is>
          <t>Prakash</t>
        </is>
      </c>
      <c r="AN17" s="61" t="n"/>
      <c r="AO17" s="61" t="n"/>
      <c r="AP17" s="61" t="n"/>
      <c r="AQ17" s="61" t="n"/>
      <c r="AR17" s="32" t="n">
        <v>0.4583333333333333</v>
      </c>
      <c r="AS17" s="19" t="inlineStr">
        <is>
          <t>Guru</t>
        </is>
      </c>
      <c r="AT17" s="61" t="n"/>
      <c r="AU17" s="61" t="n"/>
      <c r="AV17" s="60" t="n">
        <v>0.75</v>
      </c>
      <c r="AW17" s="61" t="inlineStr">
        <is>
          <t>Prakash</t>
        </is>
      </c>
      <c r="AX17" s="61" t="n"/>
      <c r="AY17" s="61" t="n"/>
      <c r="AZ17" s="60" t="n">
        <v>0.75</v>
      </c>
      <c r="BA17" s="61" t="inlineStr">
        <is>
          <t>Prakash</t>
        </is>
      </c>
      <c r="BB17" s="61" t="n"/>
      <c r="BC17" s="61" t="n"/>
      <c r="BD17" s="61" t="n"/>
      <c r="BE17" s="61" t="n"/>
      <c r="BF17" s="32" t="n">
        <v>0.4583333333333333</v>
      </c>
      <c r="BG17" s="19" t="inlineStr">
        <is>
          <t>Guru</t>
        </is>
      </c>
      <c r="BH17" s="61" t="n"/>
      <c r="BI17" s="61" t="n"/>
      <c r="BJ17" s="61" t="n"/>
      <c r="BK17" s="61" t="n"/>
      <c r="BL17" s="61" t="n"/>
      <c r="BM17" s="61" t="n"/>
      <c r="BN17" s="60" t="n">
        <v>0.75</v>
      </c>
      <c r="BO17" s="61" t="inlineStr">
        <is>
          <t>Prakash</t>
        </is>
      </c>
      <c r="BP17" s="61" t="n"/>
      <c r="BQ17" s="61" t="n"/>
      <c r="BR17" s="61" t="n"/>
      <c r="BS17" s="61" t="n"/>
      <c r="BT17" s="16" t="n"/>
      <c r="BU17" s="61">
        <f>MIN(G17,12)</f>
        <v/>
      </c>
      <c r="BV17" s="61">
        <f>COUNT(J17:W17)</f>
        <v/>
      </c>
      <c r="BW17" s="61">
        <f>COUNT(X17:AK17)</f>
        <v/>
      </c>
      <c r="BX17" s="61">
        <f>COUNT(AL17:AY17)</f>
        <v/>
      </c>
      <c r="BY17" s="61">
        <f>COUNT(AZ17:BS17)</f>
        <v/>
      </c>
      <c r="BZ17" s="61">
        <f>IF(AND(H17=$BU17,BV17&gt;=INT($BU17/4),BV17&lt;=INT($BU17/4)+IF(MOD($BU17,4)&gt;0,1,0),BW17&gt;=INT($BU17/4),BW17&lt;=INT($BU17/4)+IF(MOD($BU17,4)&gt;0,1,0),BX17&gt;=INT($BU17/4),BX17&lt;=INT($BU17/4)+IF(MOD($BU17,4)&gt;0,1,0),BY17&gt;=INT($BU17/4),BY17&lt;=INT($BU17/4)+IF(MOD($BU17,4)&gt;0,1,0)),"OK","CHECK")</f>
        <v/>
      </c>
    </row>
    <row r="18" ht="15" customHeight="1">
      <c r="A18" s="16" t="inlineStr">
        <is>
          <t>yaazhini</t>
        </is>
      </c>
      <c r="B18" s="16" t="inlineStr">
        <is>
          <t>MKS00147</t>
        </is>
      </c>
      <c r="C18" s="16" t="n">
        <v>3.5</v>
      </c>
      <c r="D18" s="16" t="inlineStr">
        <is>
          <t>Beginner</t>
        </is>
      </c>
      <c r="E18" s="16" t="inlineStr">
        <is>
          <t>G Beginner1B</t>
        </is>
      </c>
      <c r="F18" s="16" t="n"/>
      <c r="G18" s="61" t="n">
        <v>12</v>
      </c>
      <c r="H18" s="61">
        <f>COUNT(J18:BS18)</f>
        <v/>
      </c>
      <c r="I18" s="63">
        <f>G18-H18</f>
        <v/>
      </c>
      <c r="J18" s="60" t="n">
        <v>0.75</v>
      </c>
      <c r="K18" s="61" t="inlineStr">
        <is>
          <t>Prakash</t>
        </is>
      </c>
      <c r="L18" s="61" t="n"/>
      <c r="M18" s="61" t="n"/>
      <c r="N18" s="61" t="n"/>
      <c r="O18" s="61" t="n"/>
      <c r="P18" s="32" t="n">
        <v>0.4583333333333333</v>
      </c>
      <c r="Q18" s="19" t="inlineStr">
        <is>
          <t>Manikandan</t>
        </is>
      </c>
      <c r="R18" s="61" t="n"/>
      <c r="S18" s="61" t="n"/>
      <c r="T18" s="60" t="n">
        <v>0.75</v>
      </c>
      <c r="U18" s="61" t="inlineStr">
        <is>
          <t>Prakash</t>
        </is>
      </c>
      <c r="V18" s="61" t="n"/>
      <c r="W18" s="61" t="n"/>
      <c r="X18" s="60" t="n">
        <v>0.75</v>
      </c>
      <c r="Y18" s="61" t="inlineStr">
        <is>
          <t>Prakash</t>
        </is>
      </c>
      <c r="Z18" s="61" t="n"/>
      <c r="AA18" s="61" t="n"/>
      <c r="AB18" s="61" t="n"/>
      <c r="AC18" s="61" t="n"/>
      <c r="AD18" s="32" t="n">
        <v>0.4583333333333333</v>
      </c>
      <c r="AE18" s="19" t="inlineStr">
        <is>
          <t>Manikandan</t>
        </is>
      </c>
      <c r="AF18" s="61" t="n"/>
      <c r="AG18" s="61" t="n"/>
      <c r="AH18" s="60" t="n">
        <v>0.75</v>
      </c>
      <c r="AI18" s="61" t="inlineStr">
        <is>
          <t>Prakash</t>
        </is>
      </c>
      <c r="AJ18" s="61" t="n"/>
      <c r="AK18" s="61" t="n"/>
      <c r="AL18" s="60" t="n">
        <v>0.75</v>
      </c>
      <c r="AM18" s="61" t="inlineStr">
        <is>
          <t>Prakash</t>
        </is>
      </c>
      <c r="AN18" s="61" t="n"/>
      <c r="AO18" s="61" t="n"/>
      <c r="AP18" s="61" t="n"/>
      <c r="AQ18" s="61" t="n"/>
      <c r="AR18" s="32" t="n">
        <v>0.4583333333333333</v>
      </c>
      <c r="AS18" s="19" t="inlineStr">
        <is>
          <t>Manikandan</t>
        </is>
      </c>
      <c r="AT18" s="61" t="n"/>
      <c r="AU18" s="61" t="n"/>
      <c r="AV18" s="60" t="n">
        <v>0.75</v>
      </c>
      <c r="AW18" s="61" t="inlineStr">
        <is>
          <t>Prakash</t>
        </is>
      </c>
      <c r="AX18" s="61" t="n"/>
      <c r="AY18" s="61" t="n"/>
      <c r="AZ18" s="60" t="n">
        <v>0.75</v>
      </c>
      <c r="BA18" s="61" t="inlineStr">
        <is>
          <t>Prakash</t>
        </is>
      </c>
      <c r="BB18" s="61" t="n"/>
      <c r="BC18" s="61" t="n"/>
      <c r="BD18" s="61" t="n"/>
      <c r="BE18" s="61" t="n"/>
      <c r="BF18" s="32" t="n">
        <v>0.4583333333333333</v>
      </c>
      <c r="BG18" s="19" t="inlineStr">
        <is>
          <t>Manikandan</t>
        </is>
      </c>
      <c r="BH18" s="61" t="n"/>
      <c r="BI18" s="61" t="n"/>
      <c r="BJ18" s="61" t="n"/>
      <c r="BK18" s="61" t="n"/>
      <c r="BL18" s="61" t="n"/>
      <c r="BM18" s="61" t="n"/>
      <c r="BN18" s="60" t="n">
        <v>0.75</v>
      </c>
      <c r="BO18" s="61" t="inlineStr">
        <is>
          <t>Prakash</t>
        </is>
      </c>
      <c r="BP18" s="61" t="n"/>
      <c r="BQ18" s="61" t="n"/>
      <c r="BR18" s="61" t="n"/>
      <c r="BS18" s="61" t="n"/>
      <c r="BT18" s="16" t="n"/>
      <c r="BU18" s="61">
        <f>MIN(G18,12)</f>
        <v/>
      </c>
      <c r="BV18" s="61">
        <f>COUNT(J18:W18)</f>
        <v/>
      </c>
      <c r="BW18" s="61">
        <f>COUNT(X18:AK18)</f>
        <v/>
      </c>
      <c r="BX18" s="61">
        <f>COUNT(AL18:AY18)</f>
        <v/>
      </c>
      <c r="BY18" s="61">
        <f>COUNT(AZ18:BS18)</f>
        <v/>
      </c>
      <c r="BZ18" s="61">
        <f>IF(AND(H18=$BU18,BV18&gt;=INT($BU18/4),BV18&lt;=INT($BU18/4)+IF(MOD($BU18,4)&gt;0,1,0),BW18&gt;=INT($BU18/4),BW18&lt;=INT($BU18/4)+IF(MOD($BU18,4)&gt;0,1,0),BX18&gt;=INT($BU18/4),BX18&lt;=INT($BU18/4)+IF(MOD($BU18,4)&gt;0,1,0),BY18&gt;=INT($BU18/4),BY18&lt;=INT($BU18/4)+IF(MOD($BU18,4)&gt;0,1,0)),"OK","CHECK")</f>
        <v/>
      </c>
    </row>
    <row r="19" ht="15" customHeight="1">
      <c r="A19" s="16" t="inlineStr">
        <is>
          <t>Kavinpriyan</t>
        </is>
      </c>
      <c r="B19" s="16" t="inlineStr">
        <is>
          <t>MKS00023</t>
        </is>
      </c>
      <c r="C19" s="16" t="n">
        <v>4.8</v>
      </c>
      <c r="D19" s="16" t="inlineStr">
        <is>
          <t>Early Intermediate</t>
        </is>
      </c>
      <c r="E19" s="16" t="inlineStr">
        <is>
          <t>G Early Intermediate1A</t>
        </is>
      </c>
      <c r="F19" s="16" t="inlineStr">
        <is>
          <t>Should comeout from Satursay 6pm limited batch, as it should be only 3 students</t>
        </is>
      </c>
      <c r="G19" s="61" t="n">
        <v>12</v>
      </c>
      <c r="H19" s="61">
        <f>COUNT(J19:BS19)</f>
        <v/>
      </c>
      <c r="I19" s="63">
        <f>G19-H19</f>
        <v/>
      </c>
      <c r="J19" s="85" t="n">
        <v>0.75</v>
      </c>
      <c r="K19" s="86" t="inlineStr">
        <is>
          <t>Dhaanush</t>
        </is>
      </c>
      <c r="L19" s="61" t="n"/>
      <c r="M19" s="61" t="n"/>
      <c r="N19" s="83" t="n">
        <v>0.75</v>
      </c>
      <c r="O19" s="84" t="inlineStr">
        <is>
          <t>Manikandan</t>
        </is>
      </c>
      <c r="P19" s="19" t="n"/>
      <c r="Q19" s="19" t="n"/>
      <c r="R19" s="83" t="n">
        <v>0.8333333333333334</v>
      </c>
      <c r="S19" s="84" t="inlineStr">
        <is>
          <t>Dhaanush</t>
        </is>
      </c>
      <c r="T19" s="60" t="n"/>
      <c r="U19" s="61" t="n"/>
      <c r="V19" s="61" t="n"/>
      <c r="W19" s="61" t="n"/>
      <c r="X19" s="85" t="n">
        <v>0.75</v>
      </c>
      <c r="Y19" s="86" t="inlineStr">
        <is>
          <t>Dhaanush</t>
        </is>
      </c>
      <c r="Z19" s="61" t="n"/>
      <c r="AA19" s="61" t="n"/>
      <c r="AB19" s="83" t="n">
        <v>0.75</v>
      </c>
      <c r="AC19" s="84" t="inlineStr">
        <is>
          <t>Manikandan</t>
        </is>
      </c>
      <c r="AD19" s="19" t="n"/>
      <c r="AE19" s="19" t="n"/>
      <c r="AF19" s="61" t="n"/>
      <c r="AG19" s="61" t="n"/>
      <c r="AH19" s="83" t="n">
        <v>0.75</v>
      </c>
      <c r="AI19" s="84" t="inlineStr">
        <is>
          <t>Manikandan</t>
        </is>
      </c>
      <c r="AJ19" s="61" t="n"/>
      <c r="AK19" s="61" t="n"/>
      <c r="AL19" s="85" t="n">
        <v>0.75</v>
      </c>
      <c r="AM19" s="86" t="inlineStr">
        <is>
          <t>Dhaanush</t>
        </is>
      </c>
      <c r="AN19" s="61" t="n"/>
      <c r="AO19" s="61" t="n"/>
      <c r="AP19" s="83" t="n">
        <v>0.75</v>
      </c>
      <c r="AQ19" s="84" t="inlineStr">
        <is>
          <t>Manikandan</t>
        </is>
      </c>
      <c r="AR19" s="19" t="n"/>
      <c r="AS19" s="19" t="n"/>
      <c r="AT19" s="61" t="n"/>
      <c r="AU19" s="61" t="n"/>
      <c r="AV19" s="83" t="n">
        <v>0.75</v>
      </c>
      <c r="AW19" s="84" t="inlineStr">
        <is>
          <t>Manikandan</t>
        </is>
      </c>
      <c r="AX19" s="61" t="n"/>
      <c r="AY19" s="61" t="n"/>
      <c r="AZ19" s="60" t="n"/>
      <c r="BA19" s="61" t="n"/>
      <c r="BB19" s="83" t="n">
        <v>0.8333333333333334</v>
      </c>
      <c r="BC19" s="84" t="inlineStr">
        <is>
          <t>Dhaanush</t>
        </is>
      </c>
      <c r="BD19" s="61" t="n"/>
      <c r="BE19" s="61" t="n"/>
      <c r="BF19" s="19" t="n"/>
      <c r="BG19" s="19" t="n"/>
      <c r="BH19" s="83" t="n">
        <v>0.8333333333333334</v>
      </c>
      <c r="BI19" s="84" t="inlineStr">
        <is>
          <t>Dhaanush</t>
        </is>
      </c>
      <c r="BJ19" s="60" t="n"/>
      <c r="BK19" s="61" t="n"/>
      <c r="BL19" s="61" t="n"/>
      <c r="BM19" s="61" t="n"/>
      <c r="BN19" s="61" t="n"/>
      <c r="BO19" s="61" t="n"/>
      <c r="BP19" s="61" t="n"/>
      <c r="BQ19" s="61" t="n"/>
      <c r="BR19" s="83" t="n">
        <v>0.75</v>
      </c>
      <c r="BS19" s="84" t="inlineStr">
        <is>
          <t>Manikandan</t>
        </is>
      </c>
      <c r="BT19" s="16" t="inlineStr">
        <is>
          <t>Available only on tuesday, Thursday &amp; saturday</t>
        </is>
      </c>
      <c r="BU19" s="61">
        <f>MIN(G19,12)</f>
        <v/>
      </c>
      <c r="BV19" s="61">
        <f>COUNT(J19:W19)</f>
        <v/>
      </c>
      <c r="BW19" s="61">
        <f>COUNT(X19:AK19)</f>
        <v/>
      </c>
      <c r="BX19" s="61">
        <f>COUNT(AL19:AY19)</f>
        <v/>
      </c>
      <c r="BY19" s="61">
        <f>COUNT(AZ19:BS19)</f>
        <v/>
      </c>
      <c r="BZ19" s="61">
        <f>IF(AND(H19=$BU19,BV19&gt;=INT($BU19/4),BV19&lt;=INT($BU19/4)+IF(MOD($BU19,4)&gt;0,1,0),BW19&gt;=INT($BU19/4),BW19&lt;=INT($BU19/4)+IF(MOD($BU19,4)&gt;0,1,0),BX19&gt;=INT($BU19/4),BX19&lt;=INT($BU19/4)+IF(MOD($BU19,4)&gt;0,1,0),BY19&gt;=INT($BU19/4),BY19&lt;=INT($BU19/4)+IF(MOD($BU19,4)&gt;0,1,0)),"OK","CHECK")</f>
        <v/>
      </c>
    </row>
    <row r="20" ht="15" customHeight="1">
      <c r="A20" s="16" t="inlineStr">
        <is>
          <t>K. Sudhir</t>
        </is>
      </c>
      <c r="B20" s="16" t="inlineStr">
        <is>
          <t>MKS00228</t>
        </is>
      </c>
      <c r="C20" s="16" t="n">
        <v>3</v>
      </c>
      <c r="D20" s="16" t="inlineStr">
        <is>
          <t>Beginner</t>
        </is>
      </c>
      <c r="E20" s="16" t="inlineStr">
        <is>
          <t>G Beginner2</t>
        </is>
      </c>
      <c r="F20" s="16" t="n"/>
      <c r="G20" s="61" t="n">
        <v>10</v>
      </c>
      <c r="H20" s="61">
        <f>COUNT(J20:BS20)</f>
        <v/>
      </c>
      <c r="I20" s="63">
        <f>G20-H20</f>
        <v/>
      </c>
      <c r="J20" s="60" t="n">
        <v>0.75</v>
      </c>
      <c r="K20" s="61" t="inlineStr">
        <is>
          <t>Prakash</t>
        </is>
      </c>
      <c r="L20" s="61" t="n"/>
      <c r="M20" s="61" t="n"/>
      <c r="N20" s="61" t="n"/>
      <c r="O20" s="61" t="n"/>
      <c r="P20" s="19" t="n"/>
      <c r="Q20" s="19" t="n"/>
      <c r="R20" s="61" t="n"/>
      <c r="S20" s="61" t="n"/>
      <c r="T20" s="60" t="n">
        <v>0.75</v>
      </c>
      <c r="U20" s="61" t="inlineStr">
        <is>
          <t>Prakash</t>
        </is>
      </c>
      <c r="V20" s="61" t="n"/>
      <c r="W20" s="61" t="n"/>
      <c r="X20" s="60" t="n">
        <v>0.75</v>
      </c>
      <c r="Y20" s="61" t="inlineStr">
        <is>
          <t>Prakash</t>
        </is>
      </c>
      <c r="Z20" s="61" t="n"/>
      <c r="AA20" s="61" t="n"/>
      <c r="AB20" s="61" t="n"/>
      <c r="AC20" s="61" t="n"/>
      <c r="AD20" s="19" t="n"/>
      <c r="AE20" s="19" t="n"/>
      <c r="AF20" s="24" t="n">
        <v>0.8333333333333334</v>
      </c>
      <c r="AG20" s="25" t="inlineStr">
        <is>
          <t>Guru</t>
        </is>
      </c>
      <c r="AH20" s="60" t="n">
        <v>0.75</v>
      </c>
      <c r="AI20" s="61" t="inlineStr">
        <is>
          <t>Prakash</t>
        </is>
      </c>
      <c r="AJ20" s="61" t="n"/>
      <c r="AK20" s="61" t="n"/>
      <c r="AL20" s="60" t="n">
        <v>0.75</v>
      </c>
      <c r="AM20" s="61" t="inlineStr">
        <is>
          <t>Prakash</t>
        </is>
      </c>
      <c r="AN20" s="61" t="n"/>
      <c r="AO20" s="61" t="n"/>
      <c r="AP20" s="61" t="n"/>
      <c r="AQ20" s="61" t="n"/>
      <c r="AR20" s="19" t="n"/>
      <c r="AS20" s="19" t="n"/>
      <c r="AT20" s="61" t="n"/>
      <c r="AU20" s="61" t="n"/>
      <c r="AV20" s="60" t="n">
        <v>0.75</v>
      </c>
      <c r="AW20" s="61" t="inlineStr">
        <is>
          <t>Prakash</t>
        </is>
      </c>
      <c r="AX20" s="61" t="n"/>
      <c r="AY20" s="61" t="n"/>
      <c r="AZ20" s="60" t="n">
        <v>0.75</v>
      </c>
      <c r="BA20" s="61" t="inlineStr">
        <is>
          <t>Prakash</t>
        </is>
      </c>
      <c r="BB20" s="61" t="n"/>
      <c r="BC20" s="61" t="n"/>
      <c r="BD20" s="61" t="n"/>
      <c r="BE20" s="61" t="n"/>
      <c r="BF20" s="19" t="n"/>
      <c r="BG20" s="19" t="n"/>
      <c r="BH20" s="61" t="n"/>
      <c r="BI20" s="61" t="n"/>
      <c r="BJ20" s="60" t="n">
        <v>0.75</v>
      </c>
      <c r="BK20" s="61" t="inlineStr">
        <is>
          <t>Prakash</t>
        </is>
      </c>
      <c r="BL20" s="61" t="n"/>
      <c r="BM20" s="61" t="n"/>
      <c r="BN20" s="60" t="n">
        <v>0.75</v>
      </c>
      <c r="BO20" s="61" t="inlineStr">
        <is>
          <t>Prakash</t>
        </is>
      </c>
      <c r="BP20" s="61" t="n"/>
      <c r="BQ20" s="61" t="n"/>
      <c r="BR20" s="61" t="n"/>
      <c r="BS20" s="61" t="n"/>
      <c r="BT20" s="16" t="n"/>
      <c r="BU20" s="61">
        <f>MIN(G20,12)</f>
        <v/>
      </c>
      <c r="BV20" s="61">
        <f>COUNT(J20:W20)</f>
        <v/>
      </c>
      <c r="BW20" s="61">
        <f>COUNT(X20:AK20)</f>
        <v/>
      </c>
      <c r="BX20" s="61">
        <f>COUNT(AL20:AY20)</f>
        <v/>
      </c>
      <c r="BY20" s="61">
        <f>COUNT(AZ20:BS20)</f>
        <v/>
      </c>
      <c r="BZ20" s="61">
        <f>IF(AND(H20=$BU20,BV20&gt;=INT($BU20/4),BV20&lt;=INT($BU20/4)+IF(MOD($BU20,4)&gt;0,1,0),BW20&gt;=INT($BU20/4),BW20&lt;=INT($BU20/4)+IF(MOD($BU20,4)&gt;0,1,0),BX20&gt;=INT($BU20/4),BX20&lt;=INT($BU20/4)+IF(MOD($BU20,4)&gt;0,1,0),BY20&gt;=INT($BU20/4),BY20&lt;=INT($BU20/4)+IF(MOD($BU20,4)&gt;0,1,0)),"OK","CHECK")</f>
        <v/>
      </c>
    </row>
    <row r="21" ht="15" customHeight="1">
      <c r="A21" s="16" t="inlineStr">
        <is>
          <t>HAASHINI  SHRIVY V</t>
        </is>
      </c>
      <c r="B21" s="16" t="inlineStr">
        <is>
          <t>MKS00115</t>
        </is>
      </c>
      <c r="C21" s="16" t="n">
        <v>2.9</v>
      </c>
      <c r="D21" s="16" t="inlineStr">
        <is>
          <t>Beginner</t>
        </is>
      </c>
      <c r="E21" s="16" t="inlineStr">
        <is>
          <t>G beginner1</t>
        </is>
      </c>
      <c r="F21" s="16" t="inlineStr">
        <is>
          <t>Should be in all Sunday Tournaments</t>
        </is>
      </c>
      <c r="G21" s="61" t="n">
        <v>10</v>
      </c>
      <c r="H21" s="61">
        <f>COUNT(J21:BS21)</f>
        <v/>
      </c>
      <c r="I21" s="63">
        <f>G21-H21</f>
        <v/>
      </c>
      <c r="J21" s="60" t="n">
        <v>0.75</v>
      </c>
      <c r="K21" s="61" t="inlineStr">
        <is>
          <t>Prakash</t>
        </is>
      </c>
      <c r="L21" s="61" t="n"/>
      <c r="M21" s="61" t="n"/>
      <c r="N21" s="61" t="n"/>
      <c r="O21" s="61" t="n"/>
      <c r="P21" s="19" t="n"/>
      <c r="Q21" s="19" t="n"/>
      <c r="R21" s="61" t="n"/>
      <c r="S21" s="61" t="n"/>
      <c r="T21" s="60" t="n">
        <v>0.75</v>
      </c>
      <c r="U21" s="61" t="inlineStr">
        <is>
          <t>Prakash</t>
        </is>
      </c>
      <c r="V21" s="61" t="n"/>
      <c r="W21" s="61" t="n"/>
      <c r="X21" s="60" t="n">
        <v>0.75</v>
      </c>
      <c r="Y21" s="61" t="inlineStr">
        <is>
          <t>Prakash</t>
        </is>
      </c>
      <c r="Z21" s="61" t="n"/>
      <c r="AA21" s="61" t="n"/>
      <c r="AB21" s="61" t="n"/>
      <c r="AC21" s="61" t="n"/>
      <c r="AD21" s="32" t="n">
        <v>0.4583333333333333</v>
      </c>
      <c r="AE21" s="19" t="inlineStr">
        <is>
          <t>Guru</t>
        </is>
      </c>
      <c r="AF21" s="61" t="n"/>
      <c r="AG21" s="61" t="n"/>
      <c r="AH21" s="60" t="n">
        <v>0.75</v>
      </c>
      <c r="AI21" s="61" t="inlineStr">
        <is>
          <t>Prakash</t>
        </is>
      </c>
      <c r="AJ21" s="61" t="n"/>
      <c r="AK21" s="61" t="n"/>
      <c r="AL21" s="60" t="n">
        <v>0.75</v>
      </c>
      <c r="AM21" s="61" t="inlineStr">
        <is>
          <t>Prakash</t>
        </is>
      </c>
      <c r="AN21" s="61" t="n"/>
      <c r="AO21" s="61" t="n"/>
      <c r="AP21" s="61" t="n"/>
      <c r="AQ21" s="61" t="n"/>
      <c r="AR21" s="19" t="n"/>
      <c r="AS21" s="19" t="n"/>
      <c r="AT21" s="61" t="n"/>
      <c r="AU21" s="61" t="n"/>
      <c r="AV21" s="60" t="n">
        <v>0.75</v>
      </c>
      <c r="AW21" s="61" t="inlineStr">
        <is>
          <t>Prakash</t>
        </is>
      </c>
      <c r="AX21" s="61" t="n"/>
      <c r="AY21" s="61" t="n"/>
      <c r="AZ21" s="60" t="n">
        <v>0.75</v>
      </c>
      <c r="BA21" s="61" t="inlineStr">
        <is>
          <t>Prakash</t>
        </is>
      </c>
      <c r="BB21" s="61" t="n"/>
      <c r="BC21" s="61" t="n"/>
      <c r="BD21" s="61" t="n"/>
      <c r="BE21" s="61" t="n"/>
      <c r="BF21" s="19" t="n"/>
      <c r="BG21" s="19" t="n"/>
      <c r="BH21" s="61" t="n"/>
      <c r="BI21" s="61" t="n"/>
      <c r="BJ21" s="60" t="n">
        <v>0.75</v>
      </c>
      <c r="BK21" s="61" t="inlineStr">
        <is>
          <t>Prakash</t>
        </is>
      </c>
      <c r="BL21" s="61" t="n"/>
      <c r="BM21" s="61" t="n"/>
      <c r="BN21" s="60" t="n">
        <v>0.75</v>
      </c>
      <c r="BO21" s="61" t="inlineStr">
        <is>
          <t>Prakash</t>
        </is>
      </c>
      <c r="BP21" s="61" t="n"/>
      <c r="BQ21" s="61" t="n"/>
      <c r="BR21" s="61" t="n"/>
      <c r="BS21" s="61" t="n"/>
      <c r="BT21" s="16" t="n"/>
      <c r="BU21" s="61">
        <f>MIN(G21,12)</f>
        <v/>
      </c>
      <c r="BV21" s="61">
        <f>COUNT(J21:W21)</f>
        <v/>
      </c>
      <c r="BW21" s="61">
        <f>COUNT(X21:AK21)</f>
        <v/>
      </c>
      <c r="BX21" s="61">
        <f>COUNT(AL21:AY21)</f>
        <v/>
      </c>
      <c r="BY21" s="61">
        <f>COUNT(AZ21:BS21)</f>
        <v/>
      </c>
      <c r="BZ21" s="61">
        <f>IF(AND(H21=$BU21,BV21&gt;=INT($BU21/4),BV21&lt;=INT($BU21/4)+IF(MOD($BU21,4)&gt;0,1,0),BW21&gt;=INT($BU21/4),BW21&lt;=INT($BU21/4)+IF(MOD($BU21,4)&gt;0,1,0),BX21&gt;=INT($BU21/4),BX21&lt;=INT($BU21/4)+IF(MOD($BU21,4)&gt;0,1,0),BY21&gt;=INT($BU21/4),BY21&lt;=INT($BU21/4)+IF(MOD($BU21,4)&gt;0,1,0)),"OK","CHECK")</f>
        <v/>
      </c>
    </row>
    <row r="22" ht="15" customHeight="1">
      <c r="A22" s="16" t="inlineStr">
        <is>
          <t>Nakshathra. C</t>
        </is>
      </c>
      <c r="B22" s="16" t="inlineStr">
        <is>
          <t>MKS00227</t>
        </is>
      </c>
      <c r="C22" s="16" t="n">
        <v>2.8</v>
      </c>
      <c r="D22" s="16" t="inlineStr">
        <is>
          <t>Beginner</t>
        </is>
      </c>
      <c r="E22" s="16" t="inlineStr">
        <is>
          <t>G Beginner2</t>
        </is>
      </c>
      <c r="F22" s="16" t="inlineStr">
        <is>
          <t>Should be in all Sunday Tournaments</t>
        </is>
      </c>
      <c r="G22" s="61" t="n">
        <v>10</v>
      </c>
      <c r="H22" s="61">
        <f>COUNT(J22:BS22)</f>
        <v/>
      </c>
      <c r="I22" s="63">
        <f>G22-H22</f>
        <v/>
      </c>
      <c r="J22" s="60" t="n">
        <v>0.75</v>
      </c>
      <c r="K22" s="61" t="inlineStr">
        <is>
          <t>Prakash</t>
        </is>
      </c>
      <c r="L22" s="61" t="n"/>
      <c r="M22" s="61" t="n"/>
      <c r="N22" s="61" t="n"/>
      <c r="O22" s="61" t="n"/>
      <c r="P22" s="19" t="n"/>
      <c r="Q22" s="19" t="n"/>
      <c r="R22" s="61" t="n"/>
      <c r="S22" s="61" t="n"/>
      <c r="T22" s="60" t="n">
        <v>0.75</v>
      </c>
      <c r="U22" s="61" t="inlineStr">
        <is>
          <t>Prakash</t>
        </is>
      </c>
      <c r="V22" s="61" t="n"/>
      <c r="W22" s="61" t="n"/>
      <c r="X22" s="60" t="n">
        <v>0.75</v>
      </c>
      <c r="Y22" s="61" t="inlineStr">
        <is>
          <t>Prakash</t>
        </is>
      </c>
      <c r="Z22" s="61" t="n"/>
      <c r="AA22" s="61" t="n"/>
      <c r="AB22" s="61" t="n"/>
      <c r="AC22" s="61" t="n"/>
      <c r="AD22" s="32" t="n">
        <v>0.4583333333333333</v>
      </c>
      <c r="AE22" s="19" t="inlineStr">
        <is>
          <t>Guru</t>
        </is>
      </c>
      <c r="AF22" s="61" t="n"/>
      <c r="AG22" s="61" t="n"/>
      <c r="AH22" s="60" t="n">
        <v>0.75</v>
      </c>
      <c r="AI22" s="61" t="inlineStr">
        <is>
          <t>Prakash</t>
        </is>
      </c>
      <c r="AJ22" s="61" t="n"/>
      <c r="AK22" s="61" t="n"/>
      <c r="AL22" s="60" t="n">
        <v>0.75</v>
      </c>
      <c r="AM22" s="61" t="inlineStr">
        <is>
          <t>Prakash</t>
        </is>
      </c>
      <c r="AN22" s="61" t="n"/>
      <c r="AO22" s="61" t="n"/>
      <c r="AP22" s="61" t="n"/>
      <c r="AQ22" s="61" t="n"/>
      <c r="AR22" s="19" t="n"/>
      <c r="AS22" s="19" t="n"/>
      <c r="AT22" s="61" t="n"/>
      <c r="AU22" s="61" t="n"/>
      <c r="AV22" s="60" t="n">
        <v>0.75</v>
      </c>
      <c r="AW22" s="61" t="inlineStr">
        <is>
          <t>Prakash</t>
        </is>
      </c>
      <c r="AX22" s="61" t="n"/>
      <c r="AY22" s="61" t="n"/>
      <c r="AZ22" s="60" t="n">
        <v>0.75</v>
      </c>
      <c r="BA22" s="61" t="inlineStr">
        <is>
          <t>Prakash</t>
        </is>
      </c>
      <c r="BB22" s="61" t="n"/>
      <c r="BC22" s="61" t="n"/>
      <c r="BD22" s="61" t="n"/>
      <c r="BE22" s="61" t="n"/>
      <c r="BF22" s="19" t="n"/>
      <c r="BG22" s="19" t="n"/>
      <c r="BH22" s="61" t="n"/>
      <c r="BI22" s="61" t="n"/>
      <c r="BJ22" s="60" t="n">
        <v>0.75</v>
      </c>
      <c r="BK22" s="61" t="inlineStr">
        <is>
          <t>Prakash</t>
        </is>
      </c>
      <c r="BL22" s="61" t="n"/>
      <c r="BM22" s="61" t="n"/>
      <c r="BN22" s="60" t="n">
        <v>0.75</v>
      </c>
      <c r="BO22" s="61" t="inlineStr">
        <is>
          <t>Prakash</t>
        </is>
      </c>
      <c r="BP22" s="61" t="n"/>
      <c r="BQ22" s="61" t="n"/>
      <c r="BR22" s="61" t="n"/>
      <c r="BS22" s="61" t="n"/>
      <c r="BT22" s="16" t="n"/>
      <c r="BU22" s="61">
        <f>MIN(G22,12)</f>
        <v/>
      </c>
      <c r="BV22" s="61">
        <f>COUNT(J22:W22)</f>
        <v/>
      </c>
      <c r="BW22" s="61">
        <f>COUNT(X22:AK22)</f>
        <v/>
      </c>
      <c r="BX22" s="61">
        <f>COUNT(AL22:AY22)</f>
        <v/>
      </c>
      <c r="BY22" s="61">
        <f>COUNT(AZ22:BS22)</f>
        <v/>
      </c>
      <c r="BZ22" s="61">
        <f>IF(AND(H22=$BU22,BV22&gt;=INT($BU22/4),BV22&lt;=INT($BU22/4)+IF(MOD($BU22,4)&gt;0,1,0),BW22&gt;=INT($BU22/4),BW22&lt;=INT($BU22/4)+IF(MOD($BU22,4)&gt;0,1,0),BX22&gt;=INT($BU22/4),BX22&lt;=INT($BU22/4)+IF(MOD($BU22,4)&gt;0,1,0),BY22&gt;=INT($BU22/4),BY22&lt;=INT($BU22/4)+IF(MOD($BU22,4)&gt;0,1,0)),"OK","CHECK")</f>
        <v/>
      </c>
    </row>
    <row r="23" ht="15" customHeight="1">
      <c r="A23" s="16" t="inlineStr">
        <is>
          <t>Madesh</t>
        </is>
      </c>
      <c r="B23" s="16" t="inlineStr">
        <is>
          <t>MKS00194</t>
        </is>
      </c>
      <c r="C23" s="16" t="n">
        <v>4.8</v>
      </c>
      <c r="D23" s="16" t="inlineStr">
        <is>
          <t>Early Intermediate</t>
        </is>
      </c>
      <c r="E23" s="16" t="inlineStr">
        <is>
          <t>L Early Intrmediate1</t>
        </is>
      </c>
      <c r="F23" s="16" t="inlineStr">
        <is>
          <t>madhesh &amp; Aarav only available in evening</t>
        </is>
      </c>
      <c r="G23" s="61" t="n">
        <v>12</v>
      </c>
      <c r="H23" s="61">
        <f>COUNT(J23:BS23)</f>
        <v/>
      </c>
      <c r="I23" s="63">
        <f>G23-H23</f>
        <v/>
      </c>
      <c r="J23" s="61" t="n"/>
      <c r="K23" s="61" t="n"/>
      <c r="L23" s="61" t="n"/>
      <c r="M23" s="61" t="n"/>
      <c r="N23" s="61" t="n"/>
      <c r="O23" s="61" t="n"/>
      <c r="P23" s="32" t="n">
        <v>0.4166666666666667</v>
      </c>
      <c r="Q23" s="19" t="inlineStr">
        <is>
          <t>Abinaya</t>
        </is>
      </c>
      <c r="R23" s="22" t="n">
        <v>0.7916666666666666</v>
      </c>
      <c r="S23" s="23" t="inlineStr">
        <is>
          <t>Prakash</t>
        </is>
      </c>
      <c r="T23" s="60" t="n">
        <v>0.7916666666666666</v>
      </c>
      <c r="U23" s="61" t="inlineStr">
        <is>
          <t>Prakash</t>
        </is>
      </c>
      <c r="V23" s="61" t="n"/>
      <c r="W23" s="61" t="n"/>
      <c r="X23" s="48" t="n">
        <v>0.75</v>
      </c>
      <c r="Y23" s="49" t="inlineStr">
        <is>
          <t>Dhaanush</t>
        </is>
      </c>
      <c r="Z23" s="61" t="n"/>
      <c r="AA23" s="61" t="n"/>
      <c r="AB23" s="61" t="n"/>
      <c r="AC23" s="61" t="n"/>
      <c r="AD23" s="32" t="n">
        <v>0.4166666666666667</v>
      </c>
      <c r="AE23" s="19" t="inlineStr">
        <is>
          <t>Abinaya</t>
        </is>
      </c>
      <c r="AF23" s="61" t="n"/>
      <c r="AG23" s="61" t="n"/>
      <c r="AH23" s="60" t="n">
        <v>0.7916666666666666</v>
      </c>
      <c r="AI23" s="61" t="inlineStr">
        <is>
          <t>Prakash</t>
        </is>
      </c>
      <c r="AJ23" s="61" t="n"/>
      <c r="AK23" s="61" t="n"/>
      <c r="AL23" s="48" t="n">
        <v>0.75</v>
      </c>
      <c r="AM23" s="49" t="inlineStr">
        <is>
          <t>Dhaanush</t>
        </is>
      </c>
      <c r="AN23" s="61" t="n"/>
      <c r="AO23" s="61" t="n"/>
      <c r="AP23" s="61" t="n"/>
      <c r="AQ23" s="61" t="n"/>
      <c r="AR23" s="32" t="n">
        <v>0.4166666666666667</v>
      </c>
      <c r="AS23" s="19" t="inlineStr">
        <is>
          <t>Abinaya</t>
        </is>
      </c>
      <c r="AT23" s="61" t="n"/>
      <c r="AU23" s="61" t="n"/>
      <c r="AV23" s="60" t="n">
        <v>0.7916666666666666</v>
      </c>
      <c r="AW23" s="61" t="inlineStr">
        <is>
          <t>Prakash</t>
        </is>
      </c>
      <c r="AX23" s="61" t="n"/>
      <c r="AY23" s="61" t="n"/>
      <c r="AZ23" s="48" t="n">
        <v>0.75</v>
      </c>
      <c r="BA23" s="49" t="inlineStr">
        <is>
          <t>Dhaanush</t>
        </is>
      </c>
      <c r="BB23" s="61" t="n"/>
      <c r="BC23" s="61" t="n"/>
      <c r="BD23" s="61" t="n"/>
      <c r="BE23" s="61" t="n"/>
      <c r="BF23" s="32" t="n">
        <v>0.4166666666666667</v>
      </c>
      <c r="BG23" s="19" t="inlineStr">
        <is>
          <t>Abinaya</t>
        </is>
      </c>
      <c r="BH23" s="61" t="n"/>
      <c r="BI23" s="61" t="n"/>
      <c r="BJ23" s="60" t="n">
        <v>0.7916666666666666</v>
      </c>
      <c r="BK23" s="61" t="inlineStr">
        <is>
          <t>Prakash</t>
        </is>
      </c>
      <c r="BL23" s="61" t="n"/>
      <c r="BM23" s="61" t="n"/>
      <c r="BN23" s="61" t="n"/>
      <c r="BO23" s="61" t="n"/>
      <c r="BP23" s="61" t="n"/>
      <c r="BQ23" s="61" t="n"/>
      <c r="BR23" s="61" t="n"/>
      <c r="BS23" s="61" t="n"/>
      <c r="BT23" s="16" t="n"/>
      <c r="BU23" s="61">
        <f>MIN(G23,12)</f>
        <v/>
      </c>
      <c r="BV23" s="61">
        <f>COUNT(J23:W23)</f>
        <v/>
      </c>
      <c r="BW23" s="61">
        <f>COUNT(X23:AK23)</f>
        <v/>
      </c>
      <c r="BX23" s="61">
        <f>COUNT(AL23:AY23)</f>
        <v/>
      </c>
      <c r="BY23" s="61">
        <f>COUNT(AZ23:BS23)</f>
        <v/>
      </c>
      <c r="BZ23" s="61">
        <f>IF(AND(H23=$BU23,BV23&gt;=INT($BU23/4),BV23&lt;=INT($BU23/4)+IF(MOD($BU23,4)&gt;0,1,0),BW23&gt;=INT($BU23/4),BW23&lt;=INT($BU23/4)+IF(MOD($BU23,4)&gt;0,1,0),BX23&gt;=INT($BU23/4),BX23&lt;=INT($BU23/4)+IF(MOD($BU23,4)&gt;0,1,0),BY23&gt;=INT($BU23/4),BY23&lt;=INT($BU23/4)+IF(MOD($BU23,4)&gt;0,1,0)),"OK","CHECK")</f>
        <v/>
      </c>
    </row>
    <row r="24" ht="15" customHeight="1">
      <c r="A24" s="16" t="inlineStr">
        <is>
          <t>V.Dharmasastha Individual</t>
        </is>
      </c>
      <c r="B24" s="16" t="inlineStr">
        <is>
          <t>MKS00093</t>
        </is>
      </c>
      <c r="C24" s="16" t="n">
        <v>5.8</v>
      </c>
      <c r="D24" s="16" t="inlineStr">
        <is>
          <t>Early Intermediate</t>
        </is>
      </c>
      <c r="E24" s="16" t="inlineStr">
        <is>
          <t>I Early Intermediate2</t>
        </is>
      </c>
      <c r="F24" s="16" t="n"/>
      <c r="G24" s="61" t="n">
        <v>4</v>
      </c>
      <c r="H24" s="61">
        <f>COUNT(J24:BS24)</f>
        <v/>
      </c>
      <c r="I24" s="63">
        <f>G24-H24</f>
        <v/>
      </c>
      <c r="J24" s="60" t="n"/>
      <c r="K24" s="61" t="n"/>
      <c r="L24" s="61" t="n"/>
      <c r="M24" s="61" t="n"/>
      <c r="N24" s="61" t="n"/>
      <c r="O24" s="61" t="n"/>
      <c r="P24" s="19" t="n"/>
      <c r="Q24" s="19" t="n"/>
      <c r="R24" s="61" t="n"/>
      <c r="S24" s="61" t="n"/>
      <c r="T24" s="61" t="n"/>
      <c r="U24" s="61" t="n"/>
      <c r="V24" s="61" t="n"/>
      <c r="W24" s="61" t="n"/>
      <c r="X24" s="60" t="n">
        <v>0.7916666666666666</v>
      </c>
      <c r="Y24" s="61" t="inlineStr">
        <is>
          <t>Dhaanush</t>
        </is>
      </c>
      <c r="Z24" s="61" t="n"/>
      <c r="AA24" s="61" t="n"/>
      <c r="AB24" s="61" t="n"/>
      <c r="AC24" s="61" t="n"/>
      <c r="AD24" s="19" t="n"/>
      <c r="AE24" s="19" t="n"/>
      <c r="AF24" s="61" t="n"/>
      <c r="AG24" s="61" t="n"/>
      <c r="AH24" s="61" t="n"/>
      <c r="AI24" s="61" t="n"/>
      <c r="AJ24" s="61" t="n"/>
      <c r="AK24" s="61" t="n"/>
      <c r="AL24" s="60" t="n">
        <v>0.7916666666666666</v>
      </c>
      <c r="AM24" s="61" t="inlineStr">
        <is>
          <t>Dhaanush</t>
        </is>
      </c>
      <c r="AN24" s="61" t="n"/>
      <c r="AO24" s="61" t="n"/>
      <c r="AP24" s="61" t="n"/>
      <c r="AQ24" s="61" t="n"/>
      <c r="AR24" s="19" t="n"/>
      <c r="AS24" s="19" t="n"/>
      <c r="AT24" s="61" t="n"/>
      <c r="AU24" s="61" t="n"/>
      <c r="AV24" s="61" t="n"/>
      <c r="AW24" s="61" t="n"/>
      <c r="AX24" s="61" t="n"/>
      <c r="AY24" s="61" t="n"/>
      <c r="AZ24" s="54" t="n">
        <v>0.7916666666666666</v>
      </c>
      <c r="BA24" s="55" t="inlineStr">
        <is>
          <t>Dhaanush</t>
        </is>
      </c>
      <c r="BB24" s="61" t="n"/>
      <c r="BC24" s="61" t="n"/>
      <c r="BD24" s="61" t="n"/>
      <c r="BE24" s="61" t="n"/>
      <c r="BF24" s="19" t="n"/>
      <c r="BG24" s="19" t="n"/>
      <c r="BH24" s="61" t="n"/>
      <c r="BI24" s="61" t="n"/>
      <c r="BJ24" s="61" t="n"/>
      <c r="BK24" s="61" t="n"/>
      <c r="BL24" s="61" t="n"/>
      <c r="BM24" s="61" t="n"/>
      <c r="BN24" s="60" t="n">
        <v>0.7916666666666666</v>
      </c>
      <c r="BO24" s="61" t="inlineStr">
        <is>
          <t>Dhaanush</t>
        </is>
      </c>
      <c r="BP24" s="61" t="n"/>
      <c r="BQ24" s="61" t="n"/>
      <c r="BR24" s="61" t="n"/>
      <c r="BS24" s="61" t="n"/>
      <c r="BT24" s="16" t="n"/>
      <c r="BU24" s="61">
        <f>MIN(G24,12)</f>
        <v/>
      </c>
      <c r="BV24" s="61">
        <f>COUNT(J24:W24)</f>
        <v/>
      </c>
      <c r="BW24" s="61">
        <f>COUNT(X24:AK24)</f>
        <v/>
      </c>
      <c r="BX24" s="61">
        <f>COUNT(AL24:AY24)</f>
        <v/>
      </c>
      <c r="BY24" s="61">
        <f>COUNT(AZ24:BS24)</f>
        <v/>
      </c>
      <c r="BZ24" s="61">
        <f>IF(AND(H24=$BU24,BV24&gt;=INT($BU24/4),BV24&lt;=INT($BU24/4)+IF(MOD($BU24,4)&gt;0,1,0),BW24&gt;=INT($BU24/4),BW24&lt;=INT($BU24/4)+IF(MOD($BU24,4)&gt;0,1,0),BX24&gt;=INT($BU24/4),BX24&lt;=INT($BU24/4)+IF(MOD($BU24,4)&gt;0,1,0),BY24&gt;=INT($BU24/4),BY24&lt;=INT($BU24/4)+IF(MOD($BU24,4)&gt;0,1,0)),"OK","CHECK")</f>
        <v/>
      </c>
    </row>
    <row r="25" hidden="1" ht="15" customHeight="1">
      <c r="A25" s="16" t="inlineStr">
        <is>
          <t>S Mounitha</t>
        </is>
      </c>
      <c r="B25" s="16" t="inlineStr">
        <is>
          <t>MKS00226</t>
        </is>
      </c>
      <c r="C25" s="16" t="n">
        <v>0.7</v>
      </c>
      <c r="D25" s="16" t="inlineStr">
        <is>
          <t>Basic</t>
        </is>
      </c>
      <c r="E25" s="16" t="inlineStr">
        <is>
          <t>I Basic2</t>
        </is>
      </c>
      <c r="F25" s="16" t="n"/>
      <c r="G25" s="61" t="n">
        <v>15</v>
      </c>
      <c r="H25" s="61">
        <f>COUNT(J25:BS25)</f>
        <v/>
      </c>
      <c r="I25" s="63">
        <f>G25-H25</f>
        <v/>
      </c>
      <c r="J25" s="61" t="n"/>
      <c r="K25" s="61" t="n"/>
      <c r="L25" s="83" t="n">
        <v>0.75</v>
      </c>
      <c r="M25" s="84" t="inlineStr">
        <is>
          <t>Prakash</t>
        </is>
      </c>
      <c r="N25" s="61" t="n"/>
      <c r="O25" s="61" t="n"/>
      <c r="P25" s="19" t="n"/>
      <c r="Q25" s="19" t="n"/>
      <c r="R25" s="39" t="n">
        <v>0.7916666666666666</v>
      </c>
      <c r="S25" s="40" t="inlineStr">
        <is>
          <t>Arshath</t>
        </is>
      </c>
      <c r="T25" s="61" t="n"/>
      <c r="U25" s="61" t="n"/>
      <c r="V25" s="83" t="n">
        <v>0.7916666666666666</v>
      </c>
      <c r="W25" s="84" t="inlineStr">
        <is>
          <t>Prakash</t>
        </is>
      </c>
      <c r="X25" s="61" t="n"/>
      <c r="Y25" s="61" t="n"/>
      <c r="Z25" s="60" t="n">
        <v>0.7916666666666666</v>
      </c>
      <c r="AA25" s="61" t="inlineStr">
        <is>
          <t>Manikandan</t>
        </is>
      </c>
      <c r="AB25" s="61" t="n"/>
      <c r="AC25" s="61" t="n"/>
      <c r="AD25" s="19" t="n"/>
      <c r="AE25" s="19" t="n"/>
      <c r="AF25" s="83" t="n">
        <v>0.7916666666666666</v>
      </c>
      <c r="AG25" s="84" t="inlineStr">
        <is>
          <t>Bathri</t>
        </is>
      </c>
      <c r="AH25" s="61" t="n"/>
      <c r="AI25" s="61" t="n"/>
      <c r="AJ25" s="60" t="n">
        <v>0.7916666666666666</v>
      </c>
      <c r="AK25" s="61" t="inlineStr">
        <is>
          <t>Manikandan</t>
        </is>
      </c>
      <c r="AL25" s="61" t="n"/>
      <c r="AM25" s="61" t="n"/>
      <c r="AN25" s="60" t="n">
        <v>0.7916666666666666</v>
      </c>
      <c r="AO25" s="61" t="inlineStr">
        <is>
          <t>Manikandan</t>
        </is>
      </c>
      <c r="AP25" s="61" t="n"/>
      <c r="AQ25" s="61" t="n"/>
      <c r="AR25" s="19" t="n"/>
      <c r="AS25" s="19" t="n"/>
      <c r="AT25" s="60" t="n">
        <v>0.7916666666666666</v>
      </c>
      <c r="AU25" s="61" t="inlineStr">
        <is>
          <t>Manikandan</t>
        </is>
      </c>
      <c r="AV25" s="61" t="n"/>
      <c r="AW25" s="61" t="n"/>
      <c r="AX25" s="60" t="n">
        <v>0.7916666666666666</v>
      </c>
      <c r="AY25" s="61" t="inlineStr">
        <is>
          <t>Manikandan</t>
        </is>
      </c>
      <c r="AZ25" s="61" t="n"/>
      <c r="BA25" s="61" t="n"/>
      <c r="BB25" s="60" t="n">
        <v>0.7916666666666666</v>
      </c>
      <c r="BC25" s="61" t="inlineStr">
        <is>
          <t>Manikandan</t>
        </is>
      </c>
      <c r="BD25" s="61" t="n"/>
      <c r="BE25" s="61" t="n"/>
      <c r="BF25" s="19" t="n"/>
      <c r="BG25" s="19" t="n"/>
      <c r="BH25" s="61" t="n"/>
      <c r="BI25" s="61" t="n"/>
      <c r="BJ25" s="61" t="n"/>
      <c r="BK25" s="61" t="n"/>
      <c r="BL25" s="60" t="n">
        <v>0.7916666666666666</v>
      </c>
      <c r="BM25" s="61" t="inlineStr">
        <is>
          <t>Manikandan</t>
        </is>
      </c>
      <c r="BN25" s="61" t="n"/>
      <c r="BO25" s="61" t="n"/>
      <c r="BP25" s="60" t="n">
        <v>0.7916666666666666</v>
      </c>
      <c r="BQ25" s="61" t="inlineStr">
        <is>
          <t>Manikandan</t>
        </is>
      </c>
      <c r="BR25" s="61" t="n"/>
      <c r="BS25" s="61" t="n"/>
      <c r="BT25" s="16" t="inlineStr">
        <is>
          <t>Planned 15 capped at 12/month</t>
        </is>
      </c>
      <c r="BU25" s="61">
        <f>MIN(G25,12)</f>
        <v/>
      </c>
      <c r="BV25" s="61">
        <f>COUNT(J25:W25)</f>
        <v/>
      </c>
      <c r="BW25" s="61">
        <f>COUNT(X25:AK25)</f>
        <v/>
      </c>
      <c r="BX25" s="61">
        <f>COUNT(AL25:AY25)</f>
        <v/>
      </c>
      <c r="BY25" s="61">
        <f>COUNT(AZ25:BS25)</f>
        <v/>
      </c>
      <c r="BZ25" s="61">
        <f>IF(AND(H25=$BU25,BV25&gt;=INT($BU25/4),BV25&lt;=INT($BU25/4)+IF(MOD($BU25,4)&gt;0,1,0),BW25&gt;=INT($BU25/4),BW25&lt;=INT($BU25/4)+IF(MOD($BU25,4)&gt;0,1,0),BX25&gt;=INT($BU25/4),BX25&lt;=INT($BU25/4)+IF(MOD($BU25,4)&gt;0,1,0),BY25&gt;=INT($BU25/4),BY25&lt;=INT($BU25/4)+IF(MOD($BU25,4)&gt;0,1,0)),"OK","CHECK")</f>
        <v/>
      </c>
    </row>
    <row r="26" ht="15" customHeight="1">
      <c r="A26" s="16" t="inlineStr">
        <is>
          <t>Kamesh kumar c</t>
        </is>
      </c>
      <c r="B26" s="16" t="inlineStr">
        <is>
          <t>MKS00231</t>
        </is>
      </c>
      <c r="C26" s="16" t="n">
        <v>6</v>
      </c>
      <c r="D26" s="16" t="inlineStr">
        <is>
          <t>Intermediate</t>
        </is>
      </c>
      <c r="E26" s="16" t="inlineStr">
        <is>
          <t>I Intermediate2</t>
        </is>
      </c>
      <c r="F26" s="34" t="inlineStr">
        <is>
          <t>Kamesh should be only at 7pm or 8pm in weekdays</t>
        </is>
      </c>
      <c r="G26" s="61" t="n">
        <v>10</v>
      </c>
      <c r="H26" s="61">
        <f>COUNT(J26:BS26)</f>
        <v/>
      </c>
      <c r="I26" s="63">
        <f>G26-H26</f>
        <v/>
      </c>
      <c r="J26" s="60" t="n">
        <v>0.8333333333333334</v>
      </c>
      <c r="K26" s="61" t="inlineStr">
        <is>
          <t>Dhaanush</t>
        </is>
      </c>
      <c r="L26" s="61" t="n"/>
      <c r="M26" s="61" t="n"/>
      <c r="N26" s="61" t="n"/>
      <c r="O26" s="61" t="n"/>
      <c r="P26" s="19" t="n"/>
      <c r="Q26" s="19" t="n"/>
      <c r="R26" s="61" t="n"/>
      <c r="S26" s="61" t="n"/>
      <c r="T26" s="60" t="n">
        <v>0.8333333333333334</v>
      </c>
      <c r="U26" s="61" t="inlineStr">
        <is>
          <t>Dhaanush</t>
        </is>
      </c>
      <c r="V26" s="60" t="n">
        <v>0.8333333333333334</v>
      </c>
      <c r="W26" s="61" t="inlineStr">
        <is>
          <t>Dhaanush</t>
        </is>
      </c>
      <c r="X26" s="60" t="n">
        <v>0.8333333333333334</v>
      </c>
      <c r="Y26" s="61" t="inlineStr">
        <is>
          <t>Dhaanush</t>
        </is>
      </c>
      <c r="Z26" s="61" t="n"/>
      <c r="AA26" s="61" t="n"/>
      <c r="AB26" s="61" t="n"/>
      <c r="AC26" s="61" t="n"/>
      <c r="AD26" s="19" t="n"/>
      <c r="AE26" s="19" t="n"/>
      <c r="AF26" s="60" t="n"/>
      <c r="AG26" s="61" t="n"/>
      <c r="AH26" s="22" t="n">
        <v>0.7916666666666666</v>
      </c>
      <c r="AI26" s="23" t="inlineStr">
        <is>
          <t>Dhaanush</t>
        </is>
      </c>
      <c r="AJ26" s="60" t="n">
        <v>0.8333333333333334</v>
      </c>
      <c r="AK26" s="61" t="inlineStr">
        <is>
          <t>Dhaanush</t>
        </is>
      </c>
      <c r="AL26" s="60" t="n">
        <v>0.8333333333333334</v>
      </c>
      <c r="AM26" s="61" t="inlineStr">
        <is>
          <t>Dhaanush</t>
        </is>
      </c>
      <c r="AN26" s="61" t="n"/>
      <c r="AO26" s="61" t="n"/>
      <c r="AP26" s="61" t="n"/>
      <c r="AQ26" s="61" t="n"/>
      <c r="AR26" s="19" t="n"/>
      <c r="AS26" s="19" t="n"/>
      <c r="AT26" s="61" t="n"/>
      <c r="AU26" s="61" t="n"/>
      <c r="AV26" s="61" t="n"/>
      <c r="AW26" s="61" t="n"/>
      <c r="AX26" s="60" t="n">
        <v>0.8333333333333334</v>
      </c>
      <c r="AY26" s="61" t="inlineStr">
        <is>
          <t>Dhaanush</t>
        </is>
      </c>
      <c r="AZ26" s="61" t="n"/>
      <c r="BA26" s="61" t="n"/>
      <c r="BB26" s="61" t="n"/>
      <c r="BC26" s="61" t="n"/>
      <c r="BD26" s="61" t="n"/>
      <c r="BE26" s="61" t="n"/>
      <c r="BF26" s="19" t="n"/>
      <c r="BG26" s="19" t="n"/>
      <c r="BH26" s="61" t="n"/>
      <c r="BI26" s="61" t="n"/>
      <c r="BJ26" s="60" t="n">
        <v>0.8333333333333334</v>
      </c>
      <c r="BK26" s="61" t="inlineStr">
        <is>
          <t>Dhaanush</t>
        </is>
      </c>
      <c r="BL26" s="61" t="n"/>
      <c r="BM26" s="61" t="n"/>
      <c r="BN26" s="60" t="n">
        <v>0.8333333333333334</v>
      </c>
      <c r="BO26" s="61" t="inlineStr">
        <is>
          <t>Dhaanush</t>
        </is>
      </c>
      <c r="BP26" s="61" t="n"/>
      <c r="BQ26" s="61" t="n"/>
      <c r="BR26" s="61" t="n"/>
      <c r="BS26" s="61" t="n"/>
      <c r="BT26" s="16" t="n"/>
      <c r="BU26" s="61">
        <f>MIN(G26,12)</f>
        <v/>
      </c>
      <c r="BV26" s="61">
        <f>COUNT(J26:W26)</f>
        <v/>
      </c>
      <c r="BW26" s="61">
        <f>COUNT(X26:AK26)</f>
        <v/>
      </c>
      <c r="BX26" s="61">
        <f>COUNT(AL26:AY26)</f>
        <v/>
      </c>
      <c r="BY26" s="61">
        <f>COUNT(AZ26:BS26)</f>
        <v/>
      </c>
      <c r="BZ26" s="61">
        <f>IF(AND(H26=$BU26,BV26&gt;=INT($BU26/4),BV26&lt;=INT($BU26/4)+IF(MOD($BU26,4)&gt;0,1,0),BW26&gt;=INT($BU26/4),BW26&lt;=INT($BU26/4)+IF(MOD($BU26,4)&gt;0,1,0),BX26&gt;=INT($BU26/4),BX26&lt;=INT($BU26/4)+IF(MOD($BU26,4)&gt;0,1,0),BY26&gt;=INT($BU26/4),BY26&lt;=INT($BU26/4)+IF(MOD($BU26,4)&gt;0,1,0)),"OK","CHECK")</f>
        <v/>
      </c>
    </row>
    <row r="27" ht="15" customHeight="1">
      <c r="A27" s="16" t="inlineStr">
        <is>
          <t>Jayasudhan</t>
        </is>
      </c>
      <c r="B27" s="16" t="inlineStr">
        <is>
          <t>MKS00220</t>
        </is>
      </c>
      <c r="C27" s="16" t="n">
        <v>1.1</v>
      </c>
      <c r="D27" s="16" t="inlineStr">
        <is>
          <t>Beginner</t>
        </is>
      </c>
      <c r="E27" s="16" t="inlineStr">
        <is>
          <t>G Beginner1</t>
        </is>
      </c>
      <c r="F27" s="16" t="n"/>
      <c r="G27" s="61" t="n">
        <v>12</v>
      </c>
      <c r="H27" s="61">
        <f>COUNT(J27:BS27)</f>
        <v/>
      </c>
      <c r="I27" s="63">
        <f>G27-H27</f>
        <v/>
      </c>
      <c r="J27" s="60" t="n">
        <v>0.8333333333333334</v>
      </c>
      <c r="K27" s="61" t="inlineStr">
        <is>
          <t>Abinaya</t>
        </is>
      </c>
      <c r="L27" s="61" t="n"/>
      <c r="M27" s="61" t="n"/>
      <c r="N27" s="61" t="n"/>
      <c r="O27" s="61" t="n"/>
      <c r="P27" s="32" t="n">
        <v>0.4583333333333333</v>
      </c>
      <c r="Q27" s="19" t="inlineStr">
        <is>
          <t>Abinaya</t>
        </is>
      </c>
      <c r="R27" s="61" t="n"/>
      <c r="S27" s="61" t="n"/>
      <c r="T27" s="60" t="n">
        <v>0.8333333333333334</v>
      </c>
      <c r="U27" s="61" t="inlineStr">
        <is>
          <t>Abinaya</t>
        </is>
      </c>
      <c r="V27" s="61" t="n"/>
      <c r="W27" s="61" t="n"/>
      <c r="X27" s="60" t="n">
        <v>0.8333333333333334</v>
      </c>
      <c r="Y27" s="61" t="inlineStr">
        <is>
          <t>Abinaya</t>
        </is>
      </c>
      <c r="Z27" s="61" t="n"/>
      <c r="AA27" s="61" t="n"/>
      <c r="AB27" s="61" t="n"/>
      <c r="AC27" s="61" t="n"/>
      <c r="AD27" s="32" t="n">
        <v>0.4583333333333333</v>
      </c>
      <c r="AE27" s="19" t="inlineStr">
        <is>
          <t>Abinaya</t>
        </is>
      </c>
      <c r="AF27" s="61" t="n"/>
      <c r="AG27" s="61" t="n"/>
      <c r="AH27" s="60" t="n">
        <v>0.8333333333333334</v>
      </c>
      <c r="AI27" s="61" t="inlineStr">
        <is>
          <t>Abinaya</t>
        </is>
      </c>
      <c r="AJ27" s="61" t="n"/>
      <c r="AK27" s="61" t="n"/>
      <c r="AL27" s="60" t="n">
        <v>0.8333333333333334</v>
      </c>
      <c r="AM27" s="61" t="inlineStr">
        <is>
          <t>Abinaya</t>
        </is>
      </c>
      <c r="AN27" s="61" t="n"/>
      <c r="AO27" s="61" t="n"/>
      <c r="AP27" s="61" t="n"/>
      <c r="AQ27" s="61" t="n"/>
      <c r="AR27" s="32" t="n">
        <v>0.4583333333333333</v>
      </c>
      <c r="AS27" s="19" t="inlineStr">
        <is>
          <t>Abinaya</t>
        </is>
      </c>
      <c r="AT27" s="61" t="n"/>
      <c r="AU27" s="61" t="n"/>
      <c r="AV27" s="60" t="n">
        <v>0.8333333333333334</v>
      </c>
      <c r="AW27" s="61" t="inlineStr">
        <is>
          <t>Abinaya</t>
        </is>
      </c>
      <c r="AX27" s="61" t="n"/>
      <c r="AY27" s="61" t="n"/>
      <c r="AZ27" s="60" t="n">
        <v>0.8333333333333334</v>
      </c>
      <c r="BA27" s="61" t="inlineStr">
        <is>
          <t>Abinaya</t>
        </is>
      </c>
      <c r="BB27" s="61" t="n"/>
      <c r="BC27" s="61" t="n"/>
      <c r="BD27" s="61" t="n"/>
      <c r="BE27" s="61" t="n"/>
      <c r="BF27" s="19" t="n"/>
      <c r="BG27" s="19" t="n"/>
      <c r="BH27" s="61" t="n"/>
      <c r="BI27" s="61" t="n"/>
      <c r="BJ27" s="60" t="n">
        <v>0.8333333333333334</v>
      </c>
      <c r="BK27" s="61" t="inlineStr">
        <is>
          <t>Abinaya</t>
        </is>
      </c>
      <c r="BL27" s="61" t="n"/>
      <c r="BM27" s="61" t="n"/>
      <c r="BN27" s="60" t="n">
        <v>0.8333333333333334</v>
      </c>
      <c r="BO27" s="61" t="inlineStr">
        <is>
          <t>Abinaya</t>
        </is>
      </c>
      <c r="BP27" s="61" t="n"/>
      <c r="BQ27" s="61" t="n"/>
      <c r="BR27" s="61" t="n"/>
      <c r="BS27" s="61" t="n"/>
      <c r="BT27" s="16" t="n"/>
      <c r="BU27" s="61">
        <f>MIN(G27,12)</f>
        <v/>
      </c>
      <c r="BV27" s="61">
        <f>COUNT(J27:W27)</f>
        <v/>
      </c>
      <c r="BW27" s="61">
        <f>COUNT(X27:AK27)</f>
        <v/>
      </c>
      <c r="BX27" s="61">
        <f>COUNT(AL27:AY27)</f>
        <v/>
      </c>
      <c r="BY27" s="61">
        <f>COUNT(AZ27:BS27)</f>
        <v/>
      </c>
      <c r="BZ27" s="61">
        <f>IF(AND(H27=$BU27,BV27&gt;=INT($BU27/4),BV27&lt;=INT($BU27/4)+IF(MOD($BU27,4)&gt;0,1,0),BW27&gt;=INT($BU27/4),BW27&lt;=INT($BU27/4)+IF(MOD($BU27,4)&gt;0,1,0),BX27&gt;=INT($BU27/4),BX27&lt;=INT($BU27/4)+IF(MOD($BU27,4)&gt;0,1,0),BY27&gt;=INT($BU27/4),BY27&lt;=INT($BU27/4)+IF(MOD($BU27,4)&gt;0,1,0)),"OK","CHECK")</f>
        <v/>
      </c>
    </row>
    <row r="28" ht="15" customHeight="1">
      <c r="A28" s="16" t="inlineStr">
        <is>
          <t>Nyvan</t>
        </is>
      </c>
      <c r="B28" s="16" t="inlineStr">
        <is>
          <t>MKS00208</t>
        </is>
      </c>
      <c r="C28" s="16" t="n">
        <v>1.7</v>
      </c>
      <c r="D28" s="16" t="inlineStr">
        <is>
          <t>Beginner</t>
        </is>
      </c>
      <c r="E28" s="16" t="inlineStr">
        <is>
          <t>G Beginner1</t>
        </is>
      </c>
      <c r="F28" s="16" t="n"/>
      <c r="G28" s="61" t="n">
        <v>12</v>
      </c>
      <c r="H28" s="61">
        <f>COUNT(J28:BS28)</f>
        <v/>
      </c>
      <c r="I28" s="63">
        <f>G28-H28</f>
        <v/>
      </c>
      <c r="J28" s="60" t="n">
        <v>0.8333333333333334</v>
      </c>
      <c r="K28" s="61" t="inlineStr">
        <is>
          <t>Abinaya</t>
        </is>
      </c>
      <c r="L28" s="61" t="n"/>
      <c r="M28" s="61" t="n"/>
      <c r="N28" s="61" t="n"/>
      <c r="O28" s="61" t="n"/>
      <c r="P28" s="32" t="n">
        <v>0.4583333333333333</v>
      </c>
      <c r="Q28" s="19" t="inlineStr">
        <is>
          <t>Abinaya</t>
        </is>
      </c>
      <c r="R28" s="61" t="n"/>
      <c r="S28" s="61" t="n"/>
      <c r="T28" s="60" t="n">
        <v>0.8333333333333334</v>
      </c>
      <c r="U28" s="61" t="inlineStr">
        <is>
          <t>Abinaya</t>
        </is>
      </c>
      <c r="V28" s="61" t="n"/>
      <c r="W28" s="61" t="n"/>
      <c r="X28" s="60" t="n">
        <v>0.8333333333333334</v>
      </c>
      <c r="Y28" s="61" t="inlineStr">
        <is>
          <t>Abinaya</t>
        </is>
      </c>
      <c r="Z28" s="61" t="n"/>
      <c r="AA28" s="61" t="n"/>
      <c r="AB28" s="61" t="n"/>
      <c r="AC28" s="61" t="n"/>
      <c r="AD28" s="32" t="n">
        <v>0.4583333333333333</v>
      </c>
      <c r="AE28" s="19" t="inlineStr">
        <is>
          <t>Abinaya</t>
        </is>
      </c>
      <c r="AF28" s="61" t="n"/>
      <c r="AG28" s="61" t="n"/>
      <c r="AH28" s="60" t="n">
        <v>0.8333333333333334</v>
      </c>
      <c r="AI28" s="61" t="inlineStr">
        <is>
          <t>Abinaya</t>
        </is>
      </c>
      <c r="AJ28" s="61" t="n"/>
      <c r="AK28" s="61" t="n"/>
      <c r="AL28" s="60" t="n">
        <v>0.8333333333333334</v>
      </c>
      <c r="AM28" s="61" t="inlineStr">
        <is>
          <t>Abinaya</t>
        </is>
      </c>
      <c r="AN28" s="61" t="n"/>
      <c r="AO28" s="61" t="n"/>
      <c r="AP28" s="61" t="n"/>
      <c r="AQ28" s="61" t="n"/>
      <c r="AR28" s="32" t="n">
        <v>0.4583333333333333</v>
      </c>
      <c r="AS28" s="19" t="inlineStr">
        <is>
          <t>Abinaya</t>
        </is>
      </c>
      <c r="AT28" s="61" t="n"/>
      <c r="AU28" s="61" t="n"/>
      <c r="AV28" s="60" t="n">
        <v>0.8333333333333334</v>
      </c>
      <c r="AW28" s="61" t="inlineStr">
        <is>
          <t>Abinaya</t>
        </is>
      </c>
      <c r="AX28" s="61" t="n"/>
      <c r="AY28" s="61" t="n"/>
      <c r="AZ28" s="60" t="n">
        <v>0.8333333333333334</v>
      </c>
      <c r="BA28" s="61" t="inlineStr">
        <is>
          <t>Abinaya</t>
        </is>
      </c>
      <c r="BB28" s="61" t="n"/>
      <c r="BC28" s="61" t="n"/>
      <c r="BD28" s="61" t="n"/>
      <c r="BE28" s="61" t="n"/>
      <c r="BF28" s="19" t="n"/>
      <c r="BG28" s="19" t="n"/>
      <c r="BH28" s="61" t="n"/>
      <c r="BI28" s="61" t="n"/>
      <c r="BJ28" s="60" t="n">
        <v>0.8333333333333334</v>
      </c>
      <c r="BK28" s="61" t="inlineStr">
        <is>
          <t>Abinaya</t>
        </is>
      </c>
      <c r="BL28" s="61" t="n"/>
      <c r="BM28" s="61" t="n"/>
      <c r="BN28" s="60" t="n">
        <v>0.8333333333333334</v>
      </c>
      <c r="BO28" s="61" t="inlineStr">
        <is>
          <t>Abinaya</t>
        </is>
      </c>
      <c r="BP28" s="61" t="n"/>
      <c r="BQ28" s="61" t="n"/>
      <c r="BR28" s="61" t="n"/>
      <c r="BS28" s="61" t="n"/>
      <c r="BT28" s="16" t="n"/>
      <c r="BU28" s="61">
        <f>MIN(G28,12)</f>
        <v/>
      </c>
      <c r="BV28" s="61">
        <f>COUNT(J28:W28)</f>
        <v/>
      </c>
      <c r="BW28" s="61">
        <f>COUNT(X28:AK28)</f>
        <v/>
      </c>
      <c r="BX28" s="61">
        <f>COUNT(AL28:AY28)</f>
        <v/>
      </c>
      <c r="BY28" s="61">
        <f>COUNT(AZ28:BS28)</f>
        <v/>
      </c>
      <c r="BZ28" s="61">
        <f>IF(AND(H28=$BU28,BV28&gt;=INT($BU28/4),BV28&lt;=INT($BU28/4)+IF(MOD($BU28,4)&gt;0,1,0),BW28&gt;=INT($BU28/4),BW28&lt;=INT($BU28/4)+IF(MOD($BU28,4)&gt;0,1,0),BX28&gt;=INT($BU28/4),BX28&lt;=INT($BU28/4)+IF(MOD($BU28,4)&gt;0,1,0),BY28&gt;=INT($BU28/4),BY28&lt;=INT($BU28/4)+IF(MOD($BU28,4)&gt;0,1,0)),"OK","CHECK")</f>
        <v/>
      </c>
    </row>
    <row r="29" ht="15" customHeight="1">
      <c r="A29" s="16" t="inlineStr">
        <is>
          <t>Thiyashwar S</t>
        </is>
      </c>
      <c r="B29" s="16" t="inlineStr">
        <is>
          <t>MKS00181</t>
        </is>
      </c>
      <c r="C29" s="16" t="n">
        <v>1.7</v>
      </c>
      <c r="D29" s="16" t="inlineStr">
        <is>
          <t>Beginner</t>
        </is>
      </c>
      <c r="E29" s="16" t="inlineStr">
        <is>
          <t>G Beginner1</t>
        </is>
      </c>
      <c r="F29" s="16" t="n"/>
      <c r="G29" s="61" t="n">
        <v>12</v>
      </c>
      <c r="H29" s="61">
        <f>COUNT(J29:BS29)</f>
        <v/>
      </c>
      <c r="I29" s="63">
        <f>G29-H29</f>
        <v/>
      </c>
      <c r="J29" s="60" t="n">
        <v>0.8333333333333334</v>
      </c>
      <c r="K29" s="61" t="inlineStr">
        <is>
          <t>Abinaya</t>
        </is>
      </c>
      <c r="L29" s="61" t="n"/>
      <c r="M29" s="61" t="n"/>
      <c r="N29" s="61" t="n"/>
      <c r="O29" s="61" t="n"/>
      <c r="P29" s="32" t="n">
        <v>0.4583333333333333</v>
      </c>
      <c r="Q29" s="19" t="inlineStr">
        <is>
          <t>Abinaya</t>
        </is>
      </c>
      <c r="R29" s="61" t="n"/>
      <c r="S29" s="61" t="n"/>
      <c r="T29" s="60" t="n">
        <v>0.8333333333333334</v>
      </c>
      <c r="U29" s="61" t="inlineStr">
        <is>
          <t>Abinaya</t>
        </is>
      </c>
      <c r="V29" s="61" t="n"/>
      <c r="W29" s="61" t="n"/>
      <c r="X29" s="60" t="n">
        <v>0.8333333333333334</v>
      </c>
      <c r="Y29" s="61" t="inlineStr">
        <is>
          <t>Abinaya</t>
        </is>
      </c>
      <c r="Z29" s="61" t="n"/>
      <c r="AA29" s="61" t="n"/>
      <c r="AB29" s="61" t="n"/>
      <c r="AC29" s="61" t="n"/>
      <c r="AD29" s="32" t="n">
        <v>0.4583333333333333</v>
      </c>
      <c r="AE29" s="19" t="inlineStr">
        <is>
          <t>Abinaya</t>
        </is>
      </c>
      <c r="AF29" s="61" t="n"/>
      <c r="AG29" s="61" t="n"/>
      <c r="AH29" s="60" t="n">
        <v>0.8333333333333334</v>
      </c>
      <c r="AI29" s="61" t="inlineStr">
        <is>
          <t>Abinaya</t>
        </is>
      </c>
      <c r="AJ29" s="61" t="n"/>
      <c r="AK29" s="61" t="n"/>
      <c r="AL29" s="60" t="n">
        <v>0.8333333333333334</v>
      </c>
      <c r="AM29" s="61" t="inlineStr">
        <is>
          <t>Abinaya</t>
        </is>
      </c>
      <c r="AN29" s="61" t="n"/>
      <c r="AO29" s="61" t="n"/>
      <c r="AP29" s="61" t="n"/>
      <c r="AQ29" s="61" t="n"/>
      <c r="AR29" s="32" t="n">
        <v>0.4583333333333333</v>
      </c>
      <c r="AS29" s="19" t="inlineStr">
        <is>
          <t>Abinaya</t>
        </is>
      </c>
      <c r="AT29" s="61" t="n"/>
      <c r="AU29" s="61" t="n"/>
      <c r="AV29" s="60" t="n">
        <v>0.8333333333333334</v>
      </c>
      <c r="AW29" s="61" t="inlineStr">
        <is>
          <t>Abinaya</t>
        </is>
      </c>
      <c r="AX29" s="61" t="n"/>
      <c r="AY29" s="61" t="n"/>
      <c r="AZ29" s="60" t="n">
        <v>0.8333333333333334</v>
      </c>
      <c r="BA29" s="61" t="inlineStr">
        <is>
          <t>Abinaya</t>
        </is>
      </c>
      <c r="BB29" s="61" t="n"/>
      <c r="BC29" s="61" t="n"/>
      <c r="BD29" s="61" t="n"/>
      <c r="BE29" s="61" t="n"/>
      <c r="BF29" s="19" t="n"/>
      <c r="BG29" s="19" t="n"/>
      <c r="BH29" s="61" t="n"/>
      <c r="BI29" s="61" t="n"/>
      <c r="BJ29" s="60" t="n">
        <v>0.8333333333333334</v>
      </c>
      <c r="BK29" s="61" t="inlineStr">
        <is>
          <t>Abinaya</t>
        </is>
      </c>
      <c r="BL29" s="61" t="n"/>
      <c r="BM29" s="61" t="n"/>
      <c r="BN29" s="60" t="n">
        <v>0.8333333333333334</v>
      </c>
      <c r="BO29" s="61" t="inlineStr">
        <is>
          <t>Abinaya</t>
        </is>
      </c>
      <c r="BP29" s="61" t="n"/>
      <c r="BQ29" s="61" t="n"/>
      <c r="BR29" s="61" t="n"/>
      <c r="BS29" s="61" t="n"/>
      <c r="BT29" s="16" t="n"/>
      <c r="BU29" s="61">
        <f>MIN(G29,12)</f>
        <v/>
      </c>
      <c r="BV29" s="61">
        <f>COUNT(J29:W29)</f>
        <v/>
      </c>
      <c r="BW29" s="61">
        <f>COUNT(X29:AK29)</f>
        <v/>
      </c>
      <c r="BX29" s="61">
        <f>COUNT(AL29:AY29)</f>
        <v/>
      </c>
      <c r="BY29" s="61">
        <f>COUNT(AZ29:BS29)</f>
        <v/>
      </c>
      <c r="BZ29" s="61">
        <f>IF(AND(H29=$BU29,BV29&gt;=INT($BU29/4),BV29&lt;=INT($BU29/4)+IF(MOD($BU29,4)&gt;0,1,0),BW29&gt;=INT($BU29/4),BW29&lt;=INT($BU29/4)+IF(MOD($BU29,4)&gt;0,1,0),BX29&gt;=INT($BU29/4),BX29&lt;=INT($BU29/4)+IF(MOD($BU29,4)&gt;0,1,0),BY29&gt;=INT($BU29/4),BY29&lt;=INT($BU29/4)+IF(MOD($BU29,4)&gt;0,1,0)),"OK","CHECK")</f>
        <v/>
      </c>
    </row>
    <row r="30" ht="15" customHeight="1">
      <c r="A30" s="16" t="inlineStr">
        <is>
          <t>RITHIKNATH K.M</t>
        </is>
      </c>
      <c r="B30" s="16" t="inlineStr">
        <is>
          <t>MKS00193</t>
        </is>
      </c>
      <c r="C30" s="16" t="n">
        <v>2.1</v>
      </c>
      <c r="D30" s="16" t="inlineStr">
        <is>
          <t>Beginner</t>
        </is>
      </c>
      <c r="E30" s="16" t="inlineStr">
        <is>
          <t>G Beginner1</t>
        </is>
      </c>
      <c r="F30" s="16" t="n"/>
      <c r="G30" s="61" t="n">
        <v>12</v>
      </c>
      <c r="H30" s="61">
        <f>COUNT(J30:BS30)</f>
        <v/>
      </c>
      <c r="I30" s="63">
        <f>G30-H30</f>
        <v/>
      </c>
      <c r="J30" s="60" t="n">
        <v>0.8333333333333334</v>
      </c>
      <c r="K30" s="61" t="inlineStr">
        <is>
          <t>Abinaya</t>
        </is>
      </c>
      <c r="L30" s="61" t="n"/>
      <c r="M30" s="61" t="n"/>
      <c r="N30" s="61" t="n"/>
      <c r="O30" s="61" t="n"/>
      <c r="P30" s="32" t="n">
        <v>0.4583333333333333</v>
      </c>
      <c r="Q30" s="19" t="inlineStr">
        <is>
          <t>Abinaya</t>
        </is>
      </c>
      <c r="R30" s="61" t="n"/>
      <c r="S30" s="61" t="n"/>
      <c r="T30" s="60" t="n">
        <v>0.8333333333333334</v>
      </c>
      <c r="U30" s="61" t="inlineStr">
        <is>
          <t>Abinaya</t>
        </is>
      </c>
      <c r="V30" s="61" t="n"/>
      <c r="W30" s="61" t="n"/>
      <c r="X30" s="60" t="n">
        <v>0.8333333333333334</v>
      </c>
      <c r="Y30" s="61" t="inlineStr">
        <is>
          <t>Abinaya</t>
        </is>
      </c>
      <c r="Z30" s="61" t="n"/>
      <c r="AA30" s="61" t="n"/>
      <c r="AB30" s="61" t="n"/>
      <c r="AC30" s="61" t="n"/>
      <c r="AD30" s="32" t="n">
        <v>0.4583333333333333</v>
      </c>
      <c r="AE30" s="19" t="inlineStr">
        <is>
          <t>Abinaya</t>
        </is>
      </c>
      <c r="AF30" s="61" t="n"/>
      <c r="AG30" s="61" t="n"/>
      <c r="AH30" s="60" t="n">
        <v>0.8333333333333334</v>
      </c>
      <c r="AI30" s="61" t="inlineStr">
        <is>
          <t>Abinaya</t>
        </is>
      </c>
      <c r="AJ30" s="61" t="n"/>
      <c r="AK30" s="61" t="n"/>
      <c r="AL30" s="60" t="n">
        <v>0.8333333333333334</v>
      </c>
      <c r="AM30" s="61" t="inlineStr">
        <is>
          <t>Abinaya</t>
        </is>
      </c>
      <c r="AN30" s="61" t="n"/>
      <c r="AO30" s="61" t="n"/>
      <c r="AP30" s="61" t="n"/>
      <c r="AQ30" s="61" t="n"/>
      <c r="AR30" s="32" t="n">
        <v>0.4583333333333333</v>
      </c>
      <c r="AS30" s="19" t="inlineStr">
        <is>
          <t>Abinaya</t>
        </is>
      </c>
      <c r="AT30" s="61" t="n"/>
      <c r="AU30" s="61" t="n"/>
      <c r="AV30" s="60" t="n">
        <v>0.8333333333333334</v>
      </c>
      <c r="AW30" s="61" t="inlineStr">
        <is>
          <t>Abinaya</t>
        </is>
      </c>
      <c r="AX30" s="61" t="n"/>
      <c r="AY30" s="61" t="n"/>
      <c r="AZ30" s="60" t="n">
        <v>0.8333333333333334</v>
      </c>
      <c r="BA30" s="61" t="inlineStr">
        <is>
          <t>Abinaya</t>
        </is>
      </c>
      <c r="BB30" s="61" t="n"/>
      <c r="BC30" s="61" t="n"/>
      <c r="BD30" s="61" t="n"/>
      <c r="BE30" s="61" t="n"/>
      <c r="BF30" s="19" t="n"/>
      <c r="BG30" s="19" t="n"/>
      <c r="BH30" s="61" t="n"/>
      <c r="BI30" s="61" t="n"/>
      <c r="BJ30" s="60" t="n">
        <v>0.8333333333333334</v>
      </c>
      <c r="BK30" s="61" t="inlineStr">
        <is>
          <t>Abinaya</t>
        </is>
      </c>
      <c r="BL30" s="61" t="n"/>
      <c r="BM30" s="61" t="n"/>
      <c r="BN30" s="60" t="n">
        <v>0.8333333333333334</v>
      </c>
      <c r="BO30" s="61" t="inlineStr">
        <is>
          <t>Abinaya</t>
        </is>
      </c>
      <c r="BP30" s="61" t="n"/>
      <c r="BQ30" s="61" t="n"/>
      <c r="BR30" s="61" t="n"/>
      <c r="BS30" s="61" t="n"/>
      <c r="BT30" s="16" t="n"/>
      <c r="BU30" s="61">
        <f>MIN(G30,12)</f>
        <v/>
      </c>
      <c r="BV30" s="61">
        <f>COUNT(J30:W30)</f>
        <v/>
      </c>
      <c r="BW30" s="61">
        <f>COUNT(X30:AK30)</f>
        <v/>
      </c>
      <c r="BX30" s="61">
        <f>COUNT(AL30:AY30)</f>
        <v/>
      </c>
      <c r="BY30" s="61">
        <f>COUNT(AZ30:BS30)</f>
        <v/>
      </c>
      <c r="BZ30" s="61">
        <f>IF(AND(H30=$BU30,BV30&gt;=INT($BU30/4),BV30&lt;=INT($BU30/4)+IF(MOD($BU30,4)&gt;0,1,0),BW30&gt;=INT($BU30/4),BW30&lt;=INT($BU30/4)+IF(MOD($BU30,4)&gt;0,1,0),BX30&gt;=INT($BU30/4),BX30&lt;=INT($BU30/4)+IF(MOD($BU30,4)&gt;0,1,0),BY30&gt;=INT($BU30/4),BY30&lt;=INT($BU30/4)+IF(MOD($BU30,4)&gt;0,1,0)),"OK","CHECK")</f>
        <v/>
      </c>
    </row>
    <row r="31" ht="15" customHeight="1">
      <c r="A31" s="16" t="inlineStr">
        <is>
          <t>Cholamithran BR</t>
        </is>
      </c>
      <c r="B31" s="16" t="inlineStr">
        <is>
          <t>MKS00192</t>
        </is>
      </c>
      <c r="C31" s="16" t="n">
        <v>2.1</v>
      </c>
      <c r="D31" s="16" t="inlineStr">
        <is>
          <t>Beginner</t>
        </is>
      </c>
      <c r="E31" s="16" t="inlineStr">
        <is>
          <t>G Beginner1</t>
        </is>
      </c>
      <c r="F31" s="16" t="n"/>
      <c r="G31" s="61" t="n">
        <v>12</v>
      </c>
      <c r="H31" s="61">
        <f>COUNT(J31:BS31)</f>
        <v/>
      </c>
      <c r="I31" s="63">
        <f>G31-H31</f>
        <v/>
      </c>
      <c r="J31" s="60" t="n">
        <v>0.8333333333333334</v>
      </c>
      <c r="K31" s="61" t="inlineStr">
        <is>
          <t>Abinaya</t>
        </is>
      </c>
      <c r="L31" s="61" t="n"/>
      <c r="M31" s="61" t="n"/>
      <c r="N31" s="61" t="n"/>
      <c r="O31" s="61" t="n"/>
      <c r="P31" s="32" t="n">
        <v>0.4583333333333333</v>
      </c>
      <c r="Q31" s="19" t="inlineStr">
        <is>
          <t>Abinaya</t>
        </is>
      </c>
      <c r="R31" s="61" t="n"/>
      <c r="S31" s="61" t="n"/>
      <c r="T31" s="60" t="n">
        <v>0.8333333333333334</v>
      </c>
      <c r="U31" s="61" t="inlineStr">
        <is>
          <t>Abinaya</t>
        </is>
      </c>
      <c r="V31" s="61" t="n"/>
      <c r="W31" s="61" t="n"/>
      <c r="X31" s="60" t="n">
        <v>0.8333333333333334</v>
      </c>
      <c r="Y31" s="61" t="inlineStr">
        <is>
          <t>Abinaya</t>
        </is>
      </c>
      <c r="Z31" s="61" t="n"/>
      <c r="AA31" s="61" t="n"/>
      <c r="AB31" s="61" t="n"/>
      <c r="AC31" s="61" t="n"/>
      <c r="AD31" s="32" t="n">
        <v>0.4583333333333333</v>
      </c>
      <c r="AE31" s="19" t="inlineStr">
        <is>
          <t>Abinaya</t>
        </is>
      </c>
      <c r="AF31" s="61" t="n"/>
      <c r="AG31" s="61" t="n"/>
      <c r="AH31" s="60" t="n">
        <v>0.8333333333333334</v>
      </c>
      <c r="AI31" s="61" t="inlineStr">
        <is>
          <t>Abinaya</t>
        </is>
      </c>
      <c r="AJ31" s="61" t="n"/>
      <c r="AK31" s="61" t="n"/>
      <c r="AL31" s="60" t="n">
        <v>0.8333333333333334</v>
      </c>
      <c r="AM31" s="61" t="inlineStr">
        <is>
          <t>Abinaya</t>
        </is>
      </c>
      <c r="AN31" s="61" t="n"/>
      <c r="AO31" s="61" t="n"/>
      <c r="AP31" s="61" t="n"/>
      <c r="AQ31" s="61" t="n"/>
      <c r="AR31" s="32" t="n">
        <v>0.4583333333333333</v>
      </c>
      <c r="AS31" s="19" t="inlineStr">
        <is>
          <t>Abinaya</t>
        </is>
      </c>
      <c r="AT31" s="61" t="n"/>
      <c r="AU31" s="61" t="n"/>
      <c r="AV31" s="60" t="n">
        <v>0.8333333333333334</v>
      </c>
      <c r="AW31" s="61" t="inlineStr">
        <is>
          <t>Abinaya</t>
        </is>
      </c>
      <c r="AX31" s="61" t="n"/>
      <c r="AY31" s="61" t="n"/>
      <c r="AZ31" s="60" t="n">
        <v>0.8333333333333334</v>
      </c>
      <c r="BA31" s="61" t="inlineStr">
        <is>
          <t>Abinaya</t>
        </is>
      </c>
      <c r="BB31" s="61" t="n"/>
      <c r="BC31" s="61" t="n"/>
      <c r="BD31" s="61" t="n"/>
      <c r="BE31" s="61" t="n"/>
      <c r="BF31" s="19" t="n"/>
      <c r="BG31" s="19" t="n"/>
      <c r="BH31" s="61" t="n"/>
      <c r="BI31" s="61" t="n"/>
      <c r="BJ31" s="60" t="n">
        <v>0.8333333333333334</v>
      </c>
      <c r="BK31" s="61" t="inlineStr">
        <is>
          <t>Abinaya</t>
        </is>
      </c>
      <c r="BL31" s="61" t="n"/>
      <c r="BM31" s="61" t="n"/>
      <c r="BN31" s="60" t="n">
        <v>0.8333333333333334</v>
      </c>
      <c r="BO31" s="61" t="inlineStr">
        <is>
          <t>Abinaya</t>
        </is>
      </c>
      <c r="BP31" s="61" t="n"/>
      <c r="BQ31" s="61" t="n"/>
      <c r="BR31" s="61" t="n"/>
      <c r="BS31" s="61" t="n"/>
      <c r="BT31" s="16" t="n"/>
      <c r="BU31" s="61">
        <f>MIN(G31,12)</f>
        <v/>
      </c>
      <c r="BV31" s="61">
        <f>COUNT(J31:W31)</f>
        <v/>
      </c>
      <c r="BW31" s="61">
        <f>COUNT(X31:AK31)</f>
        <v/>
      </c>
      <c r="BX31" s="61">
        <f>COUNT(AL31:AY31)</f>
        <v/>
      </c>
      <c r="BY31" s="61">
        <f>COUNT(AZ31:BS31)</f>
        <v/>
      </c>
      <c r="BZ31" s="61">
        <f>IF(AND(H31=$BU31,BV31&gt;=INT($BU31/4),BV31&lt;=INT($BU31/4)+IF(MOD($BU31,4)&gt;0,1,0),BW31&gt;=INT($BU31/4),BW31&lt;=INT($BU31/4)+IF(MOD($BU31,4)&gt;0,1,0),BX31&gt;=INT($BU31/4),BX31&lt;=INT($BU31/4)+IF(MOD($BU31,4)&gt;0,1,0),BY31&gt;=INT($BU31/4),BY31&lt;=INT($BU31/4)+IF(MOD($BU31,4)&gt;0,1,0)),"OK","CHECK")</f>
        <v/>
      </c>
    </row>
    <row r="32" ht="15" customHeight="1">
      <c r="A32" s="16" t="inlineStr">
        <is>
          <t>BHAANAVI.V</t>
        </is>
      </c>
      <c r="B32" s="16" t="inlineStr">
        <is>
          <t>MKS00189</t>
        </is>
      </c>
      <c r="C32" s="16" t="n">
        <v>2.2</v>
      </c>
      <c r="D32" s="16" t="inlineStr">
        <is>
          <t>Beginner</t>
        </is>
      </c>
      <c r="E32" s="16" t="inlineStr">
        <is>
          <t>G Beginner1</t>
        </is>
      </c>
      <c r="F32" s="16" t="n"/>
      <c r="G32" s="61" t="n">
        <v>12</v>
      </c>
      <c r="H32" s="61">
        <f>COUNT(J32:BS32)</f>
        <v/>
      </c>
      <c r="I32" s="63">
        <f>G32-H32</f>
        <v/>
      </c>
      <c r="J32" s="60" t="n">
        <v>0.8333333333333334</v>
      </c>
      <c r="K32" s="61" t="inlineStr">
        <is>
          <t>Abinaya</t>
        </is>
      </c>
      <c r="L32" s="61" t="n"/>
      <c r="M32" s="61" t="n"/>
      <c r="N32" s="61" t="n"/>
      <c r="O32" s="61" t="n"/>
      <c r="P32" s="32" t="n">
        <v>0.4583333333333333</v>
      </c>
      <c r="Q32" s="19" t="inlineStr">
        <is>
          <t>Abinaya</t>
        </is>
      </c>
      <c r="R32" s="61" t="n"/>
      <c r="S32" s="61" t="n"/>
      <c r="T32" s="60" t="n">
        <v>0.8333333333333334</v>
      </c>
      <c r="U32" s="61" t="inlineStr">
        <is>
          <t>Abinaya</t>
        </is>
      </c>
      <c r="V32" s="61" t="n"/>
      <c r="W32" s="61" t="n"/>
      <c r="X32" s="60" t="n">
        <v>0.8333333333333334</v>
      </c>
      <c r="Y32" s="61" t="inlineStr">
        <is>
          <t>Abinaya</t>
        </is>
      </c>
      <c r="Z32" s="61" t="n"/>
      <c r="AA32" s="61" t="n"/>
      <c r="AB32" s="61" t="n"/>
      <c r="AC32" s="61" t="n"/>
      <c r="AD32" s="32" t="n">
        <v>0.4583333333333333</v>
      </c>
      <c r="AE32" s="19" t="inlineStr">
        <is>
          <t>Abinaya</t>
        </is>
      </c>
      <c r="AF32" s="61" t="n"/>
      <c r="AG32" s="61" t="n"/>
      <c r="AH32" s="60" t="n">
        <v>0.8333333333333334</v>
      </c>
      <c r="AI32" s="61" t="inlineStr">
        <is>
          <t>Abinaya</t>
        </is>
      </c>
      <c r="AJ32" s="61" t="n"/>
      <c r="AK32" s="61" t="n"/>
      <c r="AL32" s="60" t="n">
        <v>0.8333333333333334</v>
      </c>
      <c r="AM32" s="61" t="inlineStr">
        <is>
          <t>Abinaya</t>
        </is>
      </c>
      <c r="AN32" s="61" t="n"/>
      <c r="AO32" s="61" t="n"/>
      <c r="AP32" s="61" t="n"/>
      <c r="AQ32" s="61" t="n"/>
      <c r="AR32" s="32" t="n">
        <v>0.4583333333333333</v>
      </c>
      <c r="AS32" s="19" t="inlineStr">
        <is>
          <t>Abinaya</t>
        </is>
      </c>
      <c r="AT32" s="61" t="n"/>
      <c r="AU32" s="61" t="n"/>
      <c r="AV32" s="60" t="n">
        <v>0.8333333333333334</v>
      </c>
      <c r="AW32" s="61" t="inlineStr">
        <is>
          <t>Abinaya</t>
        </is>
      </c>
      <c r="AX32" s="61" t="n"/>
      <c r="AY32" s="61" t="n"/>
      <c r="AZ32" s="60" t="n">
        <v>0.8333333333333334</v>
      </c>
      <c r="BA32" s="61" t="inlineStr">
        <is>
          <t>Abinaya</t>
        </is>
      </c>
      <c r="BB32" s="61" t="n"/>
      <c r="BC32" s="61" t="n"/>
      <c r="BD32" s="61" t="n"/>
      <c r="BE32" s="61" t="n"/>
      <c r="BF32" s="19" t="n"/>
      <c r="BG32" s="19" t="n"/>
      <c r="BH32" s="61" t="n"/>
      <c r="BI32" s="61" t="n"/>
      <c r="BJ32" s="60" t="n">
        <v>0.8333333333333334</v>
      </c>
      <c r="BK32" s="61" t="inlineStr">
        <is>
          <t>Abinaya</t>
        </is>
      </c>
      <c r="BL32" s="61" t="n"/>
      <c r="BM32" s="61" t="n"/>
      <c r="BN32" s="60" t="n">
        <v>0.8333333333333334</v>
      </c>
      <c r="BO32" s="61" t="inlineStr">
        <is>
          <t>Abinaya</t>
        </is>
      </c>
      <c r="BP32" s="61" t="n"/>
      <c r="BQ32" s="61" t="n"/>
      <c r="BR32" s="61" t="n"/>
      <c r="BS32" s="61" t="n"/>
      <c r="BT32" s="16" t="n"/>
      <c r="BU32" s="61">
        <f>MIN(G32,12)</f>
        <v/>
      </c>
      <c r="BV32" s="61">
        <f>COUNT(J32:W32)</f>
        <v/>
      </c>
      <c r="BW32" s="61">
        <f>COUNT(X32:AK32)</f>
        <v/>
      </c>
      <c r="BX32" s="61">
        <f>COUNT(AL32:AY32)</f>
        <v/>
      </c>
      <c r="BY32" s="61">
        <f>COUNT(AZ32:BS32)</f>
        <v/>
      </c>
      <c r="BZ32" s="61">
        <f>IF(AND(H32=$BU32,BV32&gt;=INT($BU32/4),BV32&lt;=INT($BU32/4)+IF(MOD($BU32,4)&gt;0,1,0),BW32&gt;=INT($BU32/4),BW32&lt;=INT($BU32/4)+IF(MOD($BU32,4)&gt;0,1,0),BX32&gt;=INT($BU32/4),BX32&lt;=INT($BU32/4)+IF(MOD($BU32,4)&gt;0,1,0),BY32&gt;=INT($BU32/4),BY32&lt;=INT($BU32/4)+IF(MOD($BU32,4)&gt;0,1,0)),"OK","CHECK")</f>
        <v/>
      </c>
    </row>
    <row r="33" ht="15" customHeight="1">
      <c r="A33" s="16" t="inlineStr">
        <is>
          <t>Jeevith. N.M</t>
        </is>
      </c>
      <c r="B33" s="16" t="inlineStr">
        <is>
          <t>MKS00224</t>
        </is>
      </c>
      <c r="C33" s="16" t="n">
        <v>1.8</v>
      </c>
      <c r="D33" s="28" t="inlineStr">
        <is>
          <t>Beginner</t>
        </is>
      </c>
      <c r="E33" s="28" t="inlineStr">
        <is>
          <t>G beginner1</t>
        </is>
      </c>
      <c r="F33" s="16" t="n"/>
      <c r="G33" s="61" t="n">
        <v>12</v>
      </c>
      <c r="H33" s="61">
        <f>COUNT(J33:BS33)</f>
        <v/>
      </c>
      <c r="I33" s="63">
        <f>G33-H33</f>
        <v/>
      </c>
      <c r="J33" s="60" t="n">
        <v>0.8333333333333334</v>
      </c>
      <c r="K33" s="61" t="inlineStr">
        <is>
          <t>Bathri</t>
        </is>
      </c>
      <c r="L33" s="61" t="n"/>
      <c r="M33" s="61" t="n"/>
      <c r="N33" s="60" t="n">
        <v>0.8333333333333334</v>
      </c>
      <c r="O33" s="61" t="inlineStr">
        <is>
          <t>Bathri</t>
        </is>
      </c>
      <c r="P33" s="19" t="n"/>
      <c r="Q33" s="19" t="n"/>
      <c r="R33" s="61" t="n"/>
      <c r="S33" s="61" t="n"/>
      <c r="T33" s="60" t="n">
        <v>0.8333333333333334</v>
      </c>
      <c r="U33" s="61" t="inlineStr">
        <is>
          <t>Bathri</t>
        </is>
      </c>
      <c r="V33" s="61" t="n"/>
      <c r="W33" s="61" t="n"/>
      <c r="X33" s="60" t="n">
        <v>0.8333333333333334</v>
      </c>
      <c r="Y33" s="61" t="inlineStr">
        <is>
          <t>Bathri</t>
        </is>
      </c>
      <c r="Z33" s="61" t="n"/>
      <c r="AA33" s="61" t="n"/>
      <c r="AB33" s="60" t="n">
        <v>0.8333333333333334</v>
      </c>
      <c r="AC33" s="61" t="inlineStr">
        <is>
          <t>Bathri</t>
        </is>
      </c>
      <c r="AD33" s="19" t="n"/>
      <c r="AE33" s="19" t="n"/>
      <c r="AF33" s="61" t="n"/>
      <c r="AG33" s="61" t="n"/>
      <c r="AH33" s="60" t="n">
        <v>0.8333333333333334</v>
      </c>
      <c r="AI33" s="61" t="inlineStr">
        <is>
          <t>Bathri</t>
        </is>
      </c>
      <c r="AJ33" s="61" t="n"/>
      <c r="AK33" s="61" t="n"/>
      <c r="AL33" s="60" t="n">
        <v>0.8333333333333334</v>
      </c>
      <c r="AM33" s="61" t="inlineStr">
        <is>
          <t>Bathri</t>
        </is>
      </c>
      <c r="AN33" s="61" t="n"/>
      <c r="AO33" s="61" t="n"/>
      <c r="AP33" s="60" t="n">
        <v>0.8333333333333334</v>
      </c>
      <c r="AQ33" s="61" t="inlineStr">
        <is>
          <t>Bathri</t>
        </is>
      </c>
      <c r="AR33" s="19" t="n"/>
      <c r="AS33" s="19" t="n"/>
      <c r="AT33" s="61" t="n"/>
      <c r="AU33" s="61" t="n"/>
      <c r="AV33" s="60" t="n">
        <v>0.8333333333333334</v>
      </c>
      <c r="AW33" s="61" t="inlineStr">
        <is>
          <t>Bathri</t>
        </is>
      </c>
      <c r="AX33" s="61" t="n"/>
      <c r="AY33" s="61" t="n"/>
      <c r="AZ33" s="61" t="n"/>
      <c r="BA33" s="61" t="n"/>
      <c r="BB33" s="61" t="n"/>
      <c r="BC33" s="61" t="n"/>
      <c r="BD33" s="60" t="n"/>
      <c r="BE33" s="61" t="n"/>
      <c r="BF33" s="19" t="n"/>
      <c r="BG33" s="19" t="n"/>
      <c r="BH33" s="61" t="n"/>
      <c r="BI33" s="61" t="n"/>
      <c r="BJ33" s="60" t="n">
        <v>0.8333333333333334</v>
      </c>
      <c r="BK33" s="61" t="inlineStr">
        <is>
          <t>Bathri</t>
        </is>
      </c>
      <c r="BL33" s="61" t="n"/>
      <c r="BM33" s="61" t="n"/>
      <c r="BN33" s="60" t="n">
        <v>0.8333333333333334</v>
      </c>
      <c r="BO33" s="61" t="inlineStr">
        <is>
          <t>Bathri</t>
        </is>
      </c>
      <c r="BP33" s="83" t="n">
        <v>0.7916666666666666</v>
      </c>
      <c r="BQ33" s="84" t="inlineStr">
        <is>
          <t>Prakash</t>
        </is>
      </c>
      <c r="BR33" s="61" t="n"/>
      <c r="BS33" s="61" t="n"/>
      <c r="BT33" s="16" t="n"/>
      <c r="BU33" s="61">
        <f>MIN(G33,12)</f>
        <v/>
      </c>
      <c r="BV33" s="61">
        <f>COUNT(J33:W33)</f>
        <v/>
      </c>
      <c r="BW33" s="61">
        <f>COUNT(X33:AK33)</f>
        <v/>
      </c>
      <c r="BX33" s="61">
        <f>COUNT(AL33:AY33)</f>
        <v/>
      </c>
      <c r="BY33" s="61">
        <f>COUNT(AZ33:BS33)</f>
        <v/>
      </c>
      <c r="BZ33" s="61">
        <f>IF(AND(H33=$BU33,BV33&gt;=INT($BU33/4),BV33&lt;=INT($BU33/4)+IF(MOD($BU33,4)&gt;0,1,0),BW33&gt;=INT($BU33/4),BW33&lt;=INT($BU33/4)+IF(MOD($BU33,4)&gt;0,1,0),BX33&gt;=INT($BU33/4),BX33&lt;=INT($BU33/4)+IF(MOD($BU33,4)&gt;0,1,0),BY33&gt;=INT($BU33/4),BY33&lt;=INT($BU33/4)+IF(MOD($BU33,4)&gt;0,1,0)),"OK","CHECK")</f>
        <v/>
      </c>
    </row>
    <row r="34" ht="15" customHeight="1">
      <c r="A34" s="16" t="inlineStr">
        <is>
          <t>Ridhanya Sri.V</t>
        </is>
      </c>
      <c r="B34" s="16" t="inlineStr">
        <is>
          <t>MKS00178</t>
        </is>
      </c>
      <c r="C34" s="16" t="n">
        <v>2.4</v>
      </c>
      <c r="D34" s="16" t="inlineStr">
        <is>
          <t>Beginner</t>
        </is>
      </c>
      <c r="E34" s="16" t="inlineStr">
        <is>
          <t>G beginner1</t>
        </is>
      </c>
      <c r="F34" s="16" t="n"/>
      <c r="G34" s="61" t="n">
        <v>12</v>
      </c>
      <c r="H34" s="61">
        <f>COUNT(J34:BS34)</f>
        <v/>
      </c>
      <c r="I34" s="63">
        <f>G34-H34</f>
        <v/>
      </c>
      <c r="J34" s="60" t="n">
        <v>0.8333333333333334</v>
      </c>
      <c r="K34" s="61" t="inlineStr">
        <is>
          <t>Bathri</t>
        </is>
      </c>
      <c r="L34" s="61" t="n"/>
      <c r="M34" s="61" t="n"/>
      <c r="N34" s="60" t="n">
        <v>0.8333333333333334</v>
      </c>
      <c r="O34" s="61" t="inlineStr">
        <is>
          <t>Bathri</t>
        </is>
      </c>
      <c r="P34" s="19" t="n"/>
      <c r="Q34" s="19" t="n"/>
      <c r="R34" s="61" t="n"/>
      <c r="S34" s="61" t="n"/>
      <c r="T34" s="60" t="n">
        <v>0.8333333333333334</v>
      </c>
      <c r="U34" s="61" t="inlineStr">
        <is>
          <t>Bathri</t>
        </is>
      </c>
      <c r="V34" s="61" t="n"/>
      <c r="W34" s="61" t="n"/>
      <c r="X34" s="60" t="n">
        <v>0.8333333333333334</v>
      </c>
      <c r="Y34" s="61" t="inlineStr">
        <is>
          <t>Bathri</t>
        </is>
      </c>
      <c r="Z34" s="61" t="n"/>
      <c r="AA34" s="61" t="n"/>
      <c r="AB34" s="60" t="n">
        <v>0.8333333333333334</v>
      </c>
      <c r="AC34" s="61" t="inlineStr">
        <is>
          <t>Bathri</t>
        </is>
      </c>
      <c r="AD34" s="19" t="n"/>
      <c r="AE34" s="19" t="n"/>
      <c r="AF34" s="61" t="n"/>
      <c r="AG34" s="61" t="n"/>
      <c r="AH34" s="60" t="n">
        <v>0.8333333333333334</v>
      </c>
      <c r="AI34" s="61" t="inlineStr">
        <is>
          <t>Bathri</t>
        </is>
      </c>
      <c r="AJ34" s="61" t="n"/>
      <c r="AK34" s="61" t="n"/>
      <c r="AL34" s="60" t="n">
        <v>0.8333333333333334</v>
      </c>
      <c r="AM34" s="61" t="inlineStr">
        <is>
          <t>Bathri</t>
        </is>
      </c>
      <c r="AN34" s="61" t="n"/>
      <c r="AO34" s="61" t="n"/>
      <c r="AP34" s="60" t="n">
        <v>0.8333333333333334</v>
      </c>
      <c r="AQ34" s="61" t="inlineStr">
        <is>
          <t>Bathri</t>
        </is>
      </c>
      <c r="AR34" s="19" t="n"/>
      <c r="AS34" s="19" t="n"/>
      <c r="AT34" s="61" t="n"/>
      <c r="AU34" s="61" t="n"/>
      <c r="AV34" s="60" t="n">
        <v>0.8333333333333334</v>
      </c>
      <c r="AW34" s="61" t="inlineStr">
        <is>
          <t>Bathri</t>
        </is>
      </c>
      <c r="AX34" s="61" t="n"/>
      <c r="AY34" s="61" t="n"/>
      <c r="AZ34" s="61" t="n"/>
      <c r="BA34" s="61" t="n"/>
      <c r="BB34" s="61" t="n"/>
      <c r="BC34" s="61" t="n"/>
      <c r="BD34" s="60" t="n">
        <v>0.8333333333333334</v>
      </c>
      <c r="BE34" s="61" t="inlineStr">
        <is>
          <t>Bathri</t>
        </is>
      </c>
      <c r="BF34" s="19" t="n"/>
      <c r="BG34" s="19" t="n"/>
      <c r="BH34" s="61" t="n"/>
      <c r="BI34" s="61" t="n"/>
      <c r="BJ34" s="60" t="n">
        <v>0.8333333333333334</v>
      </c>
      <c r="BK34" s="61" t="inlineStr">
        <is>
          <t>Bathri</t>
        </is>
      </c>
      <c r="BL34" s="61" t="n"/>
      <c r="BM34" s="61" t="n"/>
      <c r="BN34" s="60" t="n">
        <v>0.8333333333333334</v>
      </c>
      <c r="BO34" s="61" t="inlineStr">
        <is>
          <t>Bathri</t>
        </is>
      </c>
      <c r="BP34" s="61" t="n"/>
      <c r="BQ34" s="61" t="n"/>
      <c r="BR34" s="61" t="n"/>
      <c r="BS34" s="61" t="n"/>
      <c r="BT34" s="16" t="n"/>
      <c r="BU34" s="61">
        <f>MIN(G34,12)</f>
        <v/>
      </c>
      <c r="BV34" s="61">
        <f>COUNT(J34:W34)</f>
        <v/>
      </c>
      <c r="BW34" s="61">
        <f>COUNT(X34:AK34)</f>
        <v/>
      </c>
      <c r="BX34" s="61">
        <f>COUNT(AL34:AY34)</f>
        <v/>
      </c>
      <c r="BY34" s="61">
        <f>COUNT(AZ34:BS34)</f>
        <v/>
      </c>
      <c r="BZ34" s="61">
        <f>IF(AND(H34=$BU34,BV34&gt;=INT($BU34/4),BV34&lt;=INT($BU34/4)+IF(MOD($BU34,4)&gt;0,1,0),BW34&gt;=INT($BU34/4),BW34&lt;=INT($BU34/4)+IF(MOD($BU34,4)&gt;0,1,0),BX34&gt;=INT($BU34/4),BX34&lt;=INT($BU34/4)+IF(MOD($BU34,4)&gt;0,1,0),BY34&gt;=INT($BU34/4),BY34&lt;=INT($BU34/4)+IF(MOD($BU34,4)&gt;0,1,0)),"OK","CHECK")</f>
        <v/>
      </c>
    </row>
    <row r="35" ht="15" customHeight="1">
      <c r="A35" s="33" t="inlineStr">
        <is>
          <t>Bhavadharani.B</t>
        </is>
      </c>
      <c r="B35" s="16" t="inlineStr">
        <is>
          <t>MKS00203</t>
        </is>
      </c>
      <c r="C35" s="16" t="n">
        <v>1.3</v>
      </c>
      <c r="D35" s="29" t="inlineStr">
        <is>
          <t>Beginner</t>
        </is>
      </c>
      <c r="E35" s="29" t="inlineStr">
        <is>
          <t>G Beginner1</t>
        </is>
      </c>
      <c r="F35" s="29" t="n"/>
      <c r="G35" s="61" t="n">
        <v>12</v>
      </c>
      <c r="H35" s="61">
        <f>COUNT(J35:BS35)</f>
        <v/>
      </c>
      <c r="I35" s="63">
        <f>G35-H35</f>
        <v/>
      </c>
      <c r="J35" s="22" t="n">
        <v>0.8333333333333334</v>
      </c>
      <c r="K35" s="23" t="inlineStr">
        <is>
          <t>Bathri</t>
        </is>
      </c>
      <c r="L35" s="60" t="n">
        <v>0.7916666666666666</v>
      </c>
      <c r="M35" s="61" t="inlineStr">
        <is>
          <t>Prakash</t>
        </is>
      </c>
      <c r="N35" s="61" t="n"/>
      <c r="O35" s="61" t="n"/>
      <c r="P35" s="19" t="n"/>
      <c r="Q35" s="19" t="n"/>
      <c r="R35" s="61" t="n"/>
      <c r="S35" s="61" t="n"/>
      <c r="T35" s="22" t="n">
        <v>0.8333333333333334</v>
      </c>
      <c r="U35" s="23" t="inlineStr">
        <is>
          <t>Abinaya</t>
        </is>
      </c>
      <c r="V35" s="61" t="n"/>
      <c r="W35" s="61" t="n"/>
      <c r="X35" s="60" t="n">
        <v>0.8333333333333334</v>
      </c>
      <c r="Y35" s="61" t="inlineStr">
        <is>
          <t>Bathri</t>
        </is>
      </c>
      <c r="Z35" s="60" t="n">
        <v>0.7916666666666666</v>
      </c>
      <c r="AA35" s="61" t="inlineStr">
        <is>
          <t>Prakash</t>
        </is>
      </c>
      <c r="AB35" s="61" t="n"/>
      <c r="AC35" s="61" t="n"/>
      <c r="AD35" s="19" t="n"/>
      <c r="AE35" s="19" t="n"/>
      <c r="AF35" s="61" t="n"/>
      <c r="AG35" s="61" t="n"/>
      <c r="AH35" s="60" t="n">
        <v>0.8333333333333334</v>
      </c>
      <c r="AI35" s="61" t="inlineStr">
        <is>
          <t>Abinaya</t>
        </is>
      </c>
      <c r="AJ35" s="61" t="n"/>
      <c r="AK35" s="61" t="n"/>
      <c r="AL35" s="61" t="n"/>
      <c r="AM35" s="61" t="n"/>
      <c r="AN35" s="60" t="n">
        <v>0.7916666666666666</v>
      </c>
      <c r="AO35" s="61" t="inlineStr">
        <is>
          <t>Prakash</t>
        </is>
      </c>
      <c r="AP35" s="61" t="n"/>
      <c r="AQ35" s="61" t="n"/>
      <c r="AR35" s="32" t="n">
        <v>0.4583333333333333</v>
      </c>
      <c r="AS35" s="19" t="inlineStr">
        <is>
          <t>Hema</t>
        </is>
      </c>
      <c r="AT35" s="61" t="n"/>
      <c r="AU35" s="61" t="n"/>
      <c r="AV35" s="60" t="n">
        <v>0.8333333333333334</v>
      </c>
      <c r="AW35" s="61" t="inlineStr">
        <is>
          <t>Abinaya</t>
        </is>
      </c>
      <c r="AX35" s="61" t="n"/>
      <c r="AY35" s="61" t="n"/>
      <c r="AZ35" s="61" t="n"/>
      <c r="BA35" s="61" t="n"/>
      <c r="BB35" s="61" t="n"/>
      <c r="BC35" s="61" t="n"/>
      <c r="BD35" s="61" t="n"/>
      <c r="BE35" s="61" t="n"/>
      <c r="BF35" s="32" t="n">
        <v>0.4583333333333333</v>
      </c>
      <c r="BG35" s="19" t="inlineStr">
        <is>
          <t>Hema</t>
        </is>
      </c>
      <c r="BH35" s="61" t="n"/>
      <c r="BI35" s="61" t="n"/>
      <c r="BJ35" s="61" t="n"/>
      <c r="BK35" s="61" t="n"/>
      <c r="BL35" s="61" t="n"/>
      <c r="BM35" s="61" t="n"/>
      <c r="BN35" s="60" t="n">
        <v>0.8333333333333334</v>
      </c>
      <c r="BO35" s="61" t="inlineStr">
        <is>
          <t>Bathri</t>
        </is>
      </c>
      <c r="BP35" s="60" t="n">
        <v>0.7916666666666666</v>
      </c>
      <c r="BQ35" s="61" t="inlineStr">
        <is>
          <t>Prakash</t>
        </is>
      </c>
      <c r="BR35" s="61" t="n"/>
      <c r="BS35" s="61" t="n"/>
      <c r="BT35" s="16" t="inlineStr">
        <is>
          <t>Newly assigned for Oct</t>
        </is>
      </c>
      <c r="BU35" s="61">
        <f>MIN(G35,12)</f>
        <v/>
      </c>
      <c r="BV35" s="61">
        <f>COUNT(J35:W35)</f>
        <v/>
      </c>
      <c r="BW35" s="61">
        <f>COUNT(X35:AK35)</f>
        <v/>
      </c>
      <c r="BX35" s="61">
        <f>COUNT(AL35:AY35)</f>
        <v/>
      </c>
      <c r="BY35" s="61">
        <f>COUNT(AZ35:BS35)</f>
        <v/>
      </c>
      <c r="BZ35" s="61">
        <f>IF(AND(H35=$BU35,BV35&gt;=INT($BU35/4),BV35&lt;=INT($BU35/4)+IF(MOD($BU35,4)&gt;0,1,0),BW35&gt;=INT($BU35/4),BW35&lt;=INT($BU35/4)+IF(MOD($BU35,4)&gt;0,1,0),BX35&gt;=INT($BU35/4),BX35&lt;=INT($BU35/4)+IF(MOD($BU35,4)&gt;0,1,0),BY35&gt;=INT($BU35/4),BY35&lt;=INT($BU35/4)+IF(MOD($BU35,4)&gt;0,1,0)),"OK","CHECK")</f>
        <v/>
      </c>
    </row>
    <row r="36" ht="15" customHeight="1">
      <c r="A36" s="16" t="inlineStr">
        <is>
          <t>Nishwanth R</t>
        </is>
      </c>
      <c r="B36" s="16" t="inlineStr">
        <is>
          <t>MKS00171</t>
        </is>
      </c>
      <c r="C36" s="16" t="n">
        <v>2.4</v>
      </c>
      <c r="D36" s="16" t="inlineStr">
        <is>
          <t>Beginner</t>
        </is>
      </c>
      <c r="E36" s="16" t="inlineStr">
        <is>
          <t>G beginner1</t>
        </is>
      </c>
      <c r="F36" s="16" t="n"/>
      <c r="G36" s="61" t="n">
        <v>9</v>
      </c>
      <c r="H36" s="61">
        <f>COUNT(J36:BS36)</f>
        <v/>
      </c>
      <c r="I36" s="63">
        <f>G36-H36</f>
        <v/>
      </c>
      <c r="J36" s="60" t="n">
        <v>0.8333333333333334</v>
      </c>
      <c r="K36" s="61" t="inlineStr">
        <is>
          <t>Bathri</t>
        </is>
      </c>
      <c r="L36" s="61" t="n"/>
      <c r="M36" s="61" t="n"/>
      <c r="N36" s="61" t="n"/>
      <c r="O36" s="61" t="n"/>
      <c r="P36" s="19" t="n"/>
      <c r="Q36" s="19" t="n"/>
      <c r="R36" s="61" t="n"/>
      <c r="S36" s="61" t="n"/>
      <c r="T36" s="60" t="n">
        <v>0.8333333333333334</v>
      </c>
      <c r="U36" s="61" t="inlineStr">
        <is>
          <t>Bathri</t>
        </is>
      </c>
      <c r="V36" s="61" t="n"/>
      <c r="W36" s="61" t="n"/>
      <c r="X36" s="60" t="n">
        <v>0.8333333333333334</v>
      </c>
      <c r="Y36" s="61" t="inlineStr">
        <is>
          <t>Bathri</t>
        </is>
      </c>
      <c r="Z36" s="24" t="n">
        <v>0.8333333333333334</v>
      </c>
      <c r="AA36" s="25" t="inlineStr">
        <is>
          <t>Bathri</t>
        </is>
      </c>
      <c r="AB36" s="61" t="n"/>
      <c r="AC36" s="61" t="n"/>
      <c r="AD36" s="19" t="n"/>
      <c r="AE36" s="19" t="n"/>
      <c r="AF36" s="61" t="n"/>
      <c r="AG36" s="61" t="n"/>
      <c r="AH36" s="60" t="n">
        <v>0.8333333333333334</v>
      </c>
      <c r="AI36" s="61" t="inlineStr">
        <is>
          <t>Bathri</t>
        </is>
      </c>
      <c r="AJ36" s="61" t="n"/>
      <c r="AK36" s="61" t="n"/>
      <c r="AL36" s="61" t="n"/>
      <c r="AM36" s="61" t="n"/>
      <c r="AN36" s="61" t="n"/>
      <c r="AO36" s="61" t="n"/>
      <c r="AP36" s="61" t="n"/>
      <c r="AQ36" s="61" t="n"/>
      <c r="AR36" s="48" t="n">
        <v>0.4583333333333333</v>
      </c>
      <c r="AS36" s="49" t="inlineStr">
        <is>
          <t>Guru</t>
        </is>
      </c>
      <c r="AT36" s="61" t="n"/>
      <c r="AU36" s="61" t="n"/>
      <c r="AV36" s="60" t="n">
        <v>0.8333333333333334</v>
      </c>
      <c r="AW36" s="61" t="inlineStr">
        <is>
          <t>Bathri</t>
        </is>
      </c>
      <c r="AX36" s="61" t="n"/>
      <c r="AY36" s="61" t="n"/>
      <c r="AZ36" s="61" t="n"/>
      <c r="BA36" s="61" t="n"/>
      <c r="BB36" s="61" t="n"/>
      <c r="BC36" s="61" t="n"/>
      <c r="BD36" s="60" t="n">
        <v>0.8333333333333334</v>
      </c>
      <c r="BE36" s="61" t="inlineStr">
        <is>
          <t>Bathri</t>
        </is>
      </c>
      <c r="BF36" s="19" t="n"/>
      <c r="BG36" s="19" t="n"/>
      <c r="BH36" s="61" t="n"/>
      <c r="BI36" s="61" t="n"/>
      <c r="BJ36" s="60" t="n">
        <v>0.8333333333333334</v>
      </c>
      <c r="BK36" s="61" t="inlineStr">
        <is>
          <t>Bathri</t>
        </is>
      </c>
      <c r="BL36" s="61" t="n"/>
      <c r="BM36" s="61" t="n"/>
      <c r="BN36" s="61" t="n"/>
      <c r="BO36" s="61" t="n"/>
      <c r="BP36" s="61" t="n"/>
      <c r="BQ36" s="61" t="n"/>
      <c r="BR36" s="61" t="n"/>
      <c r="BS36" s="61" t="n"/>
      <c r="BT36" s="16" t="n"/>
      <c r="BU36" s="61">
        <f>MIN(G36,12)</f>
        <v/>
      </c>
      <c r="BV36" s="61">
        <f>COUNT(J36:W36)</f>
        <v/>
      </c>
      <c r="BW36" s="61">
        <f>COUNT(X36:AK36)</f>
        <v/>
      </c>
      <c r="BX36" s="61">
        <f>COUNT(AL36:AY36)</f>
        <v/>
      </c>
      <c r="BY36" s="61">
        <f>COUNT(AZ36:BS36)</f>
        <v/>
      </c>
      <c r="BZ36" s="61">
        <f>IF(AND(H36=$BU36,BV36&gt;=INT($BU36/4),BV36&lt;=INT($BU36/4)+IF(MOD($BU36,4)&gt;0,1,0),BW36&gt;=INT($BU36/4),BW36&lt;=INT($BU36/4)+IF(MOD($BU36,4)&gt;0,1,0),BX36&gt;=INT($BU36/4),BX36&lt;=INT($BU36/4)+IF(MOD($BU36,4)&gt;0,1,0),BY36&gt;=INT($BU36/4),BY36&lt;=INT($BU36/4)+IF(MOD($BU36,4)&gt;0,1,0)),"OK","CHECK")</f>
        <v/>
      </c>
    </row>
    <row r="37" ht="15" customHeight="1">
      <c r="A37" s="16" t="inlineStr">
        <is>
          <t>Vaishnavi Krishna &amp; vaibhavi Krishna</t>
        </is>
      </c>
      <c r="B37" s="16" t="inlineStr">
        <is>
          <t>MKS00165 &amp; MKS00164</t>
        </is>
      </c>
      <c r="C37" s="16" t="inlineStr">
        <is>
          <t>2.6 &amp; 2.7</t>
        </is>
      </c>
      <c r="D37" s="28" t="inlineStr">
        <is>
          <t>Beginner</t>
        </is>
      </c>
      <c r="E37" s="28" t="inlineStr">
        <is>
          <t>I Beginner1</t>
        </is>
      </c>
      <c r="F37" s="16" t="n"/>
      <c r="G37" s="61" t="n">
        <v>8</v>
      </c>
      <c r="H37" s="61">
        <f>COUNT(J37:BS37)</f>
        <v/>
      </c>
      <c r="I37" s="63">
        <f>G37-H37</f>
        <v/>
      </c>
      <c r="J37" s="61" t="n"/>
      <c r="K37" s="61" t="n"/>
      <c r="L37" s="61" t="n"/>
      <c r="M37" s="61" t="n"/>
      <c r="N37" s="60" t="n">
        <v>0.875</v>
      </c>
      <c r="O37" s="61" t="inlineStr">
        <is>
          <t>Bathri</t>
        </is>
      </c>
      <c r="P37" s="19" t="n"/>
      <c r="Q37" s="19" t="n"/>
      <c r="R37" s="61" t="n"/>
      <c r="S37" s="61" t="n"/>
      <c r="T37" s="61" t="n"/>
      <c r="U37" s="61" t="n"/>
      <c r="V37" s="60" t="n">
        <v>0.25</v>
      </c>
      <c r="W37" s="61" t="inlineStr">
        <is>
          <t>Bathri</t>
        </is>
      </c>
      <c r="X37" s="61" t="n"/>
      <c r="Y37" s="61" t="n"/>
      <c r="Z37" s="61" t="n"/>
      <c r="AA37" s="61" t="n"/>
      <c r="AB37" s="60" t="n">
        <v>0.875</v>
      </c>
      <c r="AC37" s="61" t="inlineStr">
        <is>
          <t>Bathri</t>
        </is>
      </c>
      <c r="AD37" s="19" t="n"/>
      <c r="AE37" s="19" t="n"/>
      <c r="AF37" s="61" t="n"/>
      <c r="AG37" s="61" t="n"/>
      <c r="AH37" s="61" t="n"/>
      <c r="AI37" s="61" t="n"/>
      <c r="AJ37" s="60" t="n">
        <v>0.25</v>
      </c>
      <c r="AK37" s="61" t="inlineStr">
        <is>
          <t>Bathri</t>
        </is>
      </c>
      <c r="AL37" s="61" t="n"/>
      <c r="AM37" s="61" t="n"/>
      <c r="AN37" s="61" t="n"/>
      <c r="AO37" s="61" t="n"/>
      <c r="AP37" s="60" t="n">
        <v>0.875</v>
      </c>
      <c r="AQ37" s="61" t="inlineStr">
        <is>
          <t>Bathri</t>
        </is>
      </c>
      <c r="AR37" s="19" t="n"/>
      <c r="AS37" s="19" t="n"/>
      <c r="AT37" s="61" t="n"/>
      <c r="AU37" s="61" t="n"/>
      <c r="AV37" s="61" t="n"/>
      <c r="AW37" s="61" t="n"/>
      <c r="AX37" s="60" t="n">
        <v>0.25</v>
      </c>
      <c r="AY37" s="61" t="inlineStr">
        <is>
          <t>Bathri</t>
        </is>
      </c>
      <c r="AZ37" s="61" t="n"/>
      <c r="BA37" s="61" t="n"/>
      <c r="BB37" s="61" t="n"/>
      <c r="BC37" s="61" t="n"/>
      <c r="BD37" s="60" t="n">
        <v>0.875</v>
      </c>
      <c r="BE37" s="61" t="inlineStr">
        <is>
          <t>Bathri</t>
        </is>
      </c>
      <c r="BF37" s="19" t="n"/>
      <c r="BG37" s="19" t="n"/>
      <c r="BH37" s="61" t="n"/>
      <c r="BI37" s="61" t="n"/>
      <c r="BJ37" s="61" t="n"/>
      <c r="BK37" s="61" t="n"/>
      <c r="BL37" s="60" t="n">
        <v>0.25</v>
      </c>
      <c r="BM37" s="61" t="inlineStr">
        <is>
          <t>Bathri</t>
        </is>
      </c>
      <c r="BN37" s="61" t="n"/>
      <c r="BO37" s="61" t="n"/>
      <c r="BP37" s="61" t="n"/>
      <c r="BQ37" s="61" t="n"/>
      <c r="BR37" s="61" t="n"/>
      <c r="BS37" s="61" t="n"/>
      <c r="BT37" s="16" t="n"/>
      <c r="BU37" s="61">
        <f>MIN(G37,12)</f>
        <v/>
      </c>
      <c r="BV37" s="61">
        <f>COUNT(J37:W37)</f>
        <v/>
      </c>
      <c r="BW37" s="61">
        <f>COUNT(X37:AK37)</f>
        <v/>
      </c>
      <c r="BX37" s="61">
        <f>COUNT(AL37:AY37)</f>
        <v/>
      </c>
      <c r="BY37" s="61">
        <f>COUNT(AZ37:BS37)</f>
        <v/>
      </c>
      <c r="BZ37" s="61">
        <f>IF(AND(H37=$BU37,BV37&gt;=INT($BU37/4),BV37&lt;=INT($BU37/4)+IF(MOD($BU37,4)&gt;0,1,0),BW37&gt;=INT($BU37/4),BW37&lt;=INT($BU37/4)+IF(MOD($BU37,4)&gt;0,1,0),BX37&gt;=INT($BU37/4),BX37&lt;=INT($BU37/4)+IF(MOD($BU37,4)&gt;0,1,0),BY37&gt;=INT($BU37/4),BY37&lt;=INT($BU37/4)+IF(MOD($BU37,4)&gt;0,1,0)),"OK","CHECK")</f>
        <v/>
      </c>
    </row>
    <row r="38" ht="15" customHeight="1">
      <c r="A38" s="16" t="inlineStr">
        <is>
          <t>Priyan</t>
        </is>
      </c>
      <c r="B38" s="16" t="inlineStr">
        <is>
          <t>MKS00162</t>
        </is>
      </c>
      <c r="C38" s="16" t="n">
        <v>3.7</v>
      </c>
      <c r="D38" s="16" t="inlineStr">
        <is>
          <t>Beginner</t>
        </is>
      </c>
      <c r="E38" s="16" t="inlineStr">
        <is>
          <t>I Beginner1</t>
        </is>
      </c>
      <c r="F38" s="16" t="n"/>
      <c r="G38" s="61" t="n">
        <v>8</v>
      </c>
      <c r="H38" s="61">
        <f>COUNT(J38:BS38)</f>
        <v/>
      </c>
      <c r="I38" s="63">
        <f>G38-H38</f>
        <v/>
      </c>
      <c r="J38" s="61" t="n"/>
      <c r="K38" s="61" t="n"/>
      <c r="L38" s="52" t="n">
        <v>0.25</v>
      </c>
      <c r="M38" s="61" t="inlineStr">
        <is>
          <t>Manikandan</t>
        </is>
      </c>
      <c r="N38" s="61" t="n"/>
      <c r="O38" s="61" t="n"/>
      <c r="P38" s="19" t="n"/>
      <c r="Q38" s="19" t="n"/>
      <c r="R38" s="61" t="n"/>
      <c r="S38" s="61" t="n"/>
      <c r="T38" s="61" t="n"/>
      <c r="U38" s="61" t="n"/>
      <c r="V38" s="60" t="n">
        <v>0.25</v>
      </c>
      <c r="W38" s="61" t="inlineStr">
        <is>
          <t>Manikandan</t>
        </is>
      </c>
      <c r="X38" s="61" t="n"/>
      <c r="Y38" s="61" t="n"/>
      <c r="Z38" s="60" t="n">
        <v>0.25</v>
      </c>
      <c r="AA38" s="61" t="inlineStr">
        <is>
          <t>Manikandan</t>
        </is>
      </c>
      <c r="AB38" s="61" t="n"/>
      <c r="AC38" s="61" t="n"/>
      <c r="AD38" s="19" t="n"/>
      <c r="AE38" s="19" t="n"/>
      <c r="AF38" s="61" t="n"/>
      <c r="AG38" s="61" t="n"/>
      <c r="AH38" s="61" t="n"/>
      <c r="AI38" s="61" t="n"/>
      <c r="AJ38" s="60" t="n">
        <v>0.25</v>
      </c>
      <c r="AK38" s="61" t="inlineStr">
        <is>
          <t>Manikandan</t>
        </is>
      </c>
      <c r="AL38" s="61" t="n"/>
      <c r="AM38" s="61" t="n"/>
      <c r="AN38" s="60" t="n">
        <v>0.25</v>
      </c>
      <c r="AO38" s="61" t="inlineStr">
        <is>
          <t>Manikandan</t>
        </is>
      </c>
      <c r="AP38" s="61" t="n"/>
      <c r="AQ38" s="61" t="n"/>
      <c r="AR38" s="19" t="n"/>
      <c r="AS38" s="19" t="n"/>
      <c r="AT38" s="61" t="n"/>
      <c r="AU38" s="61" t="n"/>
      <c r="AV38" s="61" t="n"/>
      <c r="AW38" s="61" t="n"/>
      <c r="AX38" s="60" t="n">
        <v>0.25</v>
      </c>
      <c r="AY38" s="61" t="inlineStr">
        <is>
          <t>Manikandan</t>
        </is>
      </c>
      <c r="AZ38" s="61" t="n"/>
      <c r="BA38" s="61" t="n"/>
      <c r="BB38" s="60" t="n">
        <v>0.25</v>
      </c>
      <c r="BC38" s="61" t="inlineStr">
        <is>
          <t>Manikandan</t>
        </is>
      </c>
      <c r="BD38" s="61" t="n"/>
      <c r="BE38" s="61" t="n"/>
      <c r="BF38" s="19" t="n"/>
      <c r="BG38" s="19" t="n"/>
      <c r="BH38" s="61" t="n"/>
      <c r="BI38" s="61" t="n"/>
      <c r="BJ38" s="61" t="n"/>
      <c r="BK38" s="61" t="n"/>
      <c r="BL38" s="60" t="n">
        <v>0.25</v>
      </c>
      <c r="BM38" s="61" t="inlineStr">
        <is>
          <t>Manikandan</t>
        </is>
      </c>
      <c r="BN38" s="61" t="n"/>
      <c r="BO38" s="61" t="n"/>
      <c r="BP38" s="61" t="n"/>
      <c r="BQ38" s="61" t="n"/>
      <c r="BR38" s="61" t="n"/>
      <c r="BS38" s="61" t="n"/>
      <c r="BT38" s="16" t="n"/>
      <c r="BU38" s="61">
        <f>MIN(G38,12)</f>
        <v/>
      </c>
      <c r="BV38" s="61">
        <f>COUNT(J38:W38)</f>
        <v/>
      </c>
      <c r="BW38" s="61">
        <f>COUNT(X38:AK38)</f>
        <v/>
      </c>
      <c r="BX38" s="61">
        <f>COUNT(AL38:AY38)</f>
        <v/>
      </c>
      <c r="BY38" s="61">
        <f>COUNT(AZ38:BS38)</f>
        <v/>
      </c>
      <c r="BZ38" s="61">
        <f>IF(AND(H38=$BU38,BV38&gt;=INT($BU38/4),BV38&lt;=INT($BU38/4)+IF(MOD($BU38,4)&gt;0,1,0),BW38&gt;=INT($BU38/4),BW38&lt;=INT($BU38/4)+IF(MOD($BU38,4)&gt;0,1,0),BX38&gt;=INT($BU38/4),BX38&lt;=INT($BU38/4)+IF(MOD($BU38,4)&gt;0,1,0),BY38&gt;=INT($BU38/4),BY38&lt;=INT($BU38/4)+IF(MOD($BU38,4)&gt;0,1,0)),"OK","CHECK")</f>
        <v/>
      </c>
    </row>
    <row r="39" ht="15" customHeight="1">
      <c r="A39" s="16" t="inlineStr">
        <is>
          <t>Alagu Durai</t>
        </is>
      </c>
      <c r="B39" s="16" t="inlineStr">
        <is>
          <t>MKS00141</t>
        </is>
      </c>
      <c r="C39" s="16" t="n">
        <v>4.8</v>
      </c>
      <c r="D39" s="28" t="inlineStr">
        <is>
          <t>Early Intermediate</t>
        </is>
      </c>
      <c r="E39" s="28" t="inlineStr">
        <is>
          <t>I Early Intermediate2</t>
        </is>
      </c>
      <c r="F39" s="16" t="n"/>
      <c r="G39" s="61" t="n">
        <v>5</v>
      </c>
      <c r="H39" s="61">
        <f>COUNT(J39:BS39)</f>
        <v/>
      </c>
      <c r="I39" s="63">
        <f>G39-H39</f>
        <v/>
      </c>
      <c r="J39" s="61" t="n"/>
      <c r="K39" s="61" t="n"/>
      <c r="L39" s="35" t="n">
        <v>0.375</v>
      </c>
      <c r="M39" s="61" t="inlineStr">
        <is>
          <t>Prakash</t>
        </is>
      </c>
      <c r="N39" s="61" t="n"/>
      <c r="O39" s="61" t="n"/>
      <c r="P39" s="19" t="n"/>
      <c r="Q39" s="19" t="n"/>
      <c r="R39" s="61" t="n"/>
      <c r="S39" s="61" t="n"/>
      <c r="T39" s="61" t="n"/>
      <c r="U39" s="61" t="n"/>
      <c r="V39" s="60" t="n">
        <v>0.375</v>
      </c>
      <c r="W39" s="61" t="inlineStr">
        <is>
          <t>Prakash</t>
        </is>
      </c>
      <c r="X39" s="61" t="n"/>
      <c r="Y39" s="61" t="n"/>
      <c r="Z39" s="60" t="n">
        <v>0.375</v>
      </c>
      <c r="AA39" s="61" t="inlineStr">
        <is>
          <t>Prakash</t>
        </is>
      </c>
      <c r="AB39" s="61" t="n"/>
      <c r="AC39" s="61" t="n"/>
      <c r="AD39" s="19" t="n"/>
      <c r="AE39" s="19" t="n"/>
      <c r="AF39" s="61" t="n"/>
      <c r="AG39" s="61" t="n"/>
      <c r="AH39" s="61" t="n"/>
      <c r="AI39" s="61" t="n"/>
      <c r="AJ39" s="61" t="n"/>
      <c r="AK39" s="61" t="n"/>
      <c r="AL39" s="61" t="n"/>
      <c r="AM39" s="61" t="n"/>
      <c r="AN39" s="60" t="n">
        <v>0.375</v>
      </c>
      <c r="AO39" s="61" t="inlineStr">
        <is>
          <t>Prakash</t>
        </is>
      </c>
      <c r="AP39" s="61" t="n"/>
      <c r="AQ39" s="61" t="n"/>
      <c r="AR39" s="19" t="n"/>
      <c r="AS39" s="19" t="n"/>
      <c r="AT39" s="61" t="n"/>
      <c r="AU39" s="61" t="n"/>
      <c r="AV39" s="61" t="n"/>
      <c r="AW39" s="61" t="n"/>
      <c r="AX39" s="61" t="n"/>
      <c r="AY39" s="61" t="n"/>
      <c r="AZ39" s="61" t="n"/>
      <c r="BA39" s="61" t="n"/>
      <c r="BB39" s="60" t="n">
        <v>0.375</v>
      </c>
      <c r="BC39" s="61" t="inlineStr">
        <is>
          <t>Prakash</t>
        </is>
      </c>
      <c r="BD39" s="61" t="n"/>
      <c r="BE39" s="61" t="n"/>
      <c r="BF39" s="19" t="n"/>
      <c r="BG39" s="19" t="n"/>
      <c r="BH39" s="61" t="n"/>
      <c r="BI39" s="61" t="n"/>
      <c r="BJ39" s="61" t="n"/>
      <c r="BK39" s="61" t="n"/>
      <c r="BL39" s="61" t="n"/>
      <c r="BM39" s="61" t="n"/>
      <c r="BN39" s="61" t="n"/>
      <c r="BO39" s="61" t="n"/>
      <c r="BP39" s="61" t="n"/>
      <c r="BQ39" s="61" t="n"/>
      <c r="BR39" s="61" t="n"/>
      <c r="BS39" s="61" t="n"/>
      <c r="BT39" s="16" t="n"/>
      <c r="BU39" s="61">
        <f>MIN(G39,12)</f>
        <v/>
      </c>
      <c r="BV39" s="61">
        <f>COUNT(J39:W39)</f>
        <v/>
      </c>
      <c r="BW39" s="61">
        <f>COUNT(X39:AK39)</f>
        <v/>
      </c>
      <c r="BX39" s="61">
        <f>COUNT(AL39:AY39)</f>
        <v/>
      </c>
      <c r="BY39" s="61">
        <f>COUNT(AZ39:BS39)</f>
        <v/>
      </c>
      <c r="BZ39" s="61">
        <f>IF(AND(H39=$BU39,BV39&gt;=INT($BU39/4),BV39&lt;=INT($BU39/4)+IF(MOD($BU39,4)&gt;0,1,0),BW39&gt;=INT($BU39/4),BW39&lt;=INT($BU39/4)+IF(MOD($BU39,4)&gt;0,1,0),BX39&gt;=INT($BU39/4),BX39&lt;=INT($BU39/4)+IF(MOD($BU39,4)&gt;0,1,0),BY39&gt;=INT($BU39/4),BY39&lt;=INT($BU39/4)+IF(MOD($BU39,4)&gt;0,1,0)),"OK","CHECK")</f>
        <v/>
      </c>
    </row>
    <row r="40" ht="15" customHeight="1">
      <c r="A40" s="16" t="inlineStr">
        <is>
          <t>Devansh gade</t>
        </is>
      </c>
      <c r="B40" s="16" t="inlineStr">
        <is>
          <t>MKS00218</t>
        </is>
      </c>
      <c r="C40" s="16" t="n">
        <v>0.7</v>
      </c>
      <c r="D40" s="16" t="inlineStr">
        <is>
          <t>Basic</t>
        </is>
      </c>
      <c r="E40" s="16" t="inlineStr">
        <is>
          <t>I basic2</t>
        </is>
      </c>
      <c r="F40" s="16" t="inlineStr">
        <is>
          <t>4.30pm</t>
        </is>
      </c>
      <c r="G40" s="61" t="n">
        <v>8</v>
      </c>
      <c r="H40" s="61">
        <f>COUNT(J40:BS40)</f>
        <v/>
      </c>
      <c r="I40" s="63">
        <f>G40-H40</f>
        <v/>
      </c>
      <c r="J40" s="61" t="n"/>
      <c r="K40" s="61" t="n"/>
      <c r="L40" s="61" t="n"/>
      <c r="M40" s="61" t="n"/>
      <c r="N40" s="61" t="n"/>
      <c r="O40" s="61" t="n"/>
      <c r="P40" s="19" t="n"/>
      <c r="Q40" s="19" t="n"/>
      <c r="R40" s="22" t="n">
        <v>0.6875</v>
      </c>
      <c r="S40" s="23" t="inlineStr">
        <is>
          <t>Bathri</t>
        </is>
      </c>
      <c r="T40" s="61" t="n"/>
      <c r="U40" s="61" t="n"/>
      <c r="V40" s="37" t="n">
        <v>0.6875</v>
      </c>
      <c r="W40" s="38" t="inlineStr">
        <is>
          <t>Bathri</t>
        </is>
      </c>
      <c r="X40" s="61" t="n"/>
      <c r="Y40" s="61" t="n"/>
      <c r="Z40" s="61" t="n"/>
      <c r="AA40" s="61" t="n"/>
      <c r="AB40" s="61" t="n"/>
      <c r="AC40" s="61" t="n"/>
      <c r="AD40" s="19" t="n"/>
      <c r="AE40" s="19" t="n"/>
      <c r="AF40" s="54" t="n">
        <v>0.6875</v>
      </c>
      <c r="AG40" s="55" t="inlineStr">
        <is>
          <t>Bathri</t>
        </is>
      </c>
      <c r="AH40" s="61" t="n"/>
      <c r="AI40" s="61" t="n"/>
      <c r="AJ40" s="37" t="n">
        <v>0.6875</v>
      </c>
      <c r="AK40" s="38" t="inlineStr">
        <is>
          <t>Bathri</t>
        </is>
      </c>
      <c r="AL40" s="61" t="n"/>
      <c r="AM40" s="61" t="n"/>
      <c r="AN40" s="61" t="n"/>
      <c r="AO40" s="61" t="n"/>
      <c r="AP40" s="61" t="n"/>
      <c r="AQ40" s="61" t="n"/>
      <c r="AR40" s="19" t="n"/>
      <c r="AS40" s="19" t="n"/>
      <c r="AT40" s="54" t="n">
        <v>0.6875</v>
      </c>
      <c r="AU40" s="55" t="inlineStr">
        <is>
          <t>Bathri</t>
        </is>
      </c>
      <c r="AV40" s="61" t="n"/>
      <c r="AW40" s="61" t="n"/>
      <c r="AX40" s="37" t="n">
        <v>0.6875</v>
      </c>
      <c r="AY40" s="38" t="inlineStr">
        <is>
          <t>Bathri</t>
        </is>
      </c>
      <c r="AZ40" s="61" t="n"/>
      <c r="BA40" s="61" t="n"/>
      <c r="BB40" s="61" t="n"/>
      <c r="BC40" s="61" t="n"/>
      <c r="BD40" s="61" t="n"/>
      <c r="BE40" s="61" t="n"/>
      <c r="BF40" s="19" t="n"/>
      <c r="BG40" s="19" t="n"/>
      <c r="BH40" s="54" t="n">
        <v>0.6875</v>
      </c>
      <c r="BI40" s="55" t="inlineStr">
        <is>
          <t>Bathri</t>
        </is>
      </c>
      <c r="BJ40" s="61" t="n"/>
      <c r="BK40" s="61" t="n"/>
      <c r="BL40" s="37" t="n">
        <v>0.6875</v>
      </c>
      <c r="BM40" s="38" t="inlineStr">
        <is>
          <t>Bathri</t>
        </is>
      </c>
      <c r="BN40" s="61" t="n"/>
      <c r="BO40" s="61" t="n"/>
      <c r="BP40" s="61" t="n"/>
      <c r="BQ40" s="61" t="n"/>
      <c r="BR40" s="61" t="n"/>
      <c r="BS40" s="61" t="n"/>
      <c r="BT40" s="16" t="n"/>
      <c r="BU40" s="61">
        <f>MIN(G40,12)</f>
        <v/>
      </c>
      <c r="BV40" s="61">
        <f>COUNT(J40:W40)</f>
        <v/>
      </c>
      <c r="BW40" s="61">
        <f>COUNT(X40:AK40)</f>
        <v/>
      </c>
      <c r="BX40" s="61">
        <f>COUNT(AL40:AY40)</f>
        <v/>
      </c>
      <c r="BY40" s="61">
        <f>COUNT(AZ40:BS40)</f>
        <v/>
      </c>
      <c r="BZ40" s="61">
        <f>IF(AND(H40=$BU40,BV40&gt;=INT($BU40/4),BV40&lt;=INT($BU40/4)+IF(MOD($BU40,4)&gt;0,1,0),BW40&gt;=INT($BU40/4),BW40&lt;=INT($BU40/4)+IF(MOD($BU40,4)&gt;0,1,0),BX40&gt;=INT($BU40/4),BX40&lt;=INT($BU40/4)+IF(MOD($BU40,4)&gt;0,1,0),BY40&gt;=INT($BU40/4),BY40&lt;=INT($BU40/4)+IF(MOD($BU40,4)&gt;0,1,0)),"OK","CHECK")</f>
        <v/>
      </c>
    </row>
    <row r="41" ht="15" customHeight="1">
      <c r="A41" s="33" t="inlineStr">
        <is>
          <t>Oviya B</t>
        </is>
      </c>
      <c r="B41" s="16" t="inlineStr">
        <is>
          <t>MKS00038</t>
        </is>
      </c>
      <c r="C41" s="16" t="n">
        <v>3.2</v>
      </c>
      <c r="D41" s="28" t="inlineStr">
        <is>
          <t>Early Intermediate</t>
        </is>
      </c>
      <c r="E41" s="28" t="inlineStr">
        <is>
          <t>G Early Intermediate1</t>
        </is>
      </c>
      <c r="F41" s="16" t="inlineStr">
        <is>
          <t>11am tournament Sunday &amp; don’t combine with Bginner1</t>
        </is>
      </c>
      <c r="G41" s="61" t="n">
        <v>12</v>
      </c>
      <c r="H41" s="61">
        <f>COUNT(J41:BS41)</f>
        <v/>
      </c>
      <c r="I41" s="63">
        <f>G41-H41</f>
        <v/>
      </c>
      <c r="J41" s="61" t="n"/>
      <c r="K41" s="61" t="n"/>
      <c r="L41" s="83" t="n">
        <v>0.7916666666666666</v>
      </c>
      <c r="M41" s="84" t="inlineStr">
        <is>
          <t>Dhaanush</t>
        </is>
      </c>
      <c r="N41" s="61" t="n"/>
      <c r="O41" s="61" t="n"/>
      <c r="P41" s="22" t="n">
        <v>0.4583333333333333</v>
      </c>
      <c r="Q41" s="19" t="inlineStr">
        <is>
          <t>Manikandan</t>
        </is>
      </c>
      <c r="R41" s="83" t="n">
        <v>0.7916666666666666</v>
      </c>
      <c r="S41" s="84" t="inlineStr">
        <is>
          <t>Dhaanush</t>
        </is>
      </c>
      <c r="T41" s="61" t="n"/>
      <c r="U41" s="61" t="n"/>
      <c r="V41" s="60" t="n"/>
      <c r="W41" s="61" t="n"/>
      <c r="X41" s="61" t="n"/>
      <c r="Y41" s="61" t="n"/>
      <c r="Z41" s="60" t="n">
        <v>0.8333333333333334</v>
      </c>
      <c r="AA41" s="61" t="inlineStr">
        <is>
          <t>Bathri</t>
        </is>
      </c>
      <c r="AB41" s="61" t="n"/>
      <c r="AC41" s="61" t="n"/>
      <c r="AD41" s="83" t="n">
        <v>0.4583333333333333</v>
      </c>
      <c r="AE41" s="84" t="inlineStr">
        <is>
          <t>Manikandan</t>
        </is>
      </c>
      <c r="AF41" s="83" t="n">
        <v>0.7916666666666666</v>
      </c>
      <c r="AG41" s="84" t="inlineStr">
        <is>
          <t>Dhaanush</t>
        </is>
      </c>
      <c r="AH41" s="61" t="n"/>
      <c r="AI41" s="61" t="n"/>
      <c r="AJ41" s="61" t="n"/>
      <c r="AK41" s="61" t="n"/>
      <c r="AL41" s="60" t="n"/>
      <c r="AM41" s="61" t="n"/>
      <c r="AN41" s="83" t="n">
        <v>0.7916666666666666</v>
      </c>
      <c r="AO41" s="84" t="inlineStr">
        <is>
          <t>Dhaanush</t>
        </is>
      </c>
      <c r="AP41" s="61" t="n"/>
      <c r="AQ41" s="61" t="n"/>
      <c r="AR41" s="83" t="n">
        <v>0.4583333333333333</v>
      </c>
      <c r="AS41" s="84" t="inlineStr">
        <is>
          <t>Manikandan</t>
        </is>
      </c>
      <c r="AT41" s="83" t="n">
        <v>0.7916666666666666</v>
      </c>
      <c r="AU41" s="84" t="inlineStr">
        <is>
          <t>Dhaanush</t>
        </is>
      </c>
      <c r="AV41" s="61" t="n"/>
      <c r="AW41" s="61" t="n"/>
      <c r="AX41" s="61" t="n"/>
      <c r="AY41" s="61" t="n"/>
      <c r="AZ41" s="61" t="n"/>
      <c r="BA41" s="61" t="n"/>
      <c r="BB41" s="61" t="n"/>
      <c r="BC41" s="61" t="n"/>
      <c r="BD41" s="61" t="n"/>
      <c r="BE41" s="61" t="n"/>
      <c r="BF41" s="83" t="n">
        <v>0.4583333333333333</v>
      </c>
      <c r="BG41" s="84" t="inlineStr">
        <is>
          <t>Manikandan</t>
        </is>
      </c>
      <c r="BH41" s="83" t="n">
        <v>0.7916666666666666</v>
      </c>
      <c r="BI41" s="84" t="inlineStr">
        <is>
          <t>Dhaanush</t>
        </is>
      </c>
      <c r="BJ41" s="83" t="n">
        <v>0.7916666666666666</v>
      </c>
      <c r="BK41" s="84" t="inlineStr">
        <is>
          <t>Prakash</t>
        </is>
      </c>
      <c r="BL41" s="60" t="n"/>
      <c r="BM41" s="61" t="n"/>
      <c r="BN41" s="61" t="n"/>
      <c r="BO41" s="61" t="n"/>
      <c r="BP41" s="61" t="n"/>
      <c r="BQ41" s="61" t="n"/>
      <c r="BR41" s="61" t="n"/>
      <c r="BS41" s="61" t="n"/>
      <c r="BT41" s="16" t="inlineStr">
        <is>
          <t>Newly assigned for Oct</t>
        </is>
      </c>
      <c r="BU41" s="61">
        <f>MIN(G41,12)</f>
        <v/>
      </c>
      <c r="BV41" s="61">
        <f>COUNT(J41:W41)</f>
        <v/>
      </c>
      <c r="BW41" s="61">
        <f>COUNT(X41:AK41)</f>
        <v/>
      </c>
      <c r="BX41" s="61">
        <f>COUNT(AL41:AY41)</f>
        <v/>
      </c>
      <c r="BY41" s="61">
        <f>COUNT(AZ41:BS41)</f>
        <v/>
      </c>
      <c r="BZ41" s="61">
        <f>IF(AND(H41=$BU41,BV41&gt;=INT($BU41/4),BV41&lt;=INT($BU41/4)+IF(MOD($BU41,4)&gt;0,1,0),BW41&gt;=INT($BU41/4),BW41&lt;=INT($BU41/4)+IF(MOD($BU41,4)&gt;0,1,0),BX41&gt;=INT($BU41/4),BX41&lt;=INT($BU41/4)+IF(MOD($BU41,4)&gt;0,1,0),BY41&gt;=INT($BU41/4),BY41&lt;=INT($BU41/4)+IF(MOD($BU41,4)&gt;0,1,0)),"OK","CHECK")</f>
        <v/>
      </c>
    </row>
    <row r="42" ht="15" customHeight="1">
      <c r="A42" s="16" t="inlineStr">
        <is>
          <t>Jovinya</t>
        </is>
      </c>
      <c r="B42" s="16" t="inlineStr">
        <is>
          <t>MKS00075</t>
        </is>
      </c>
      <c r="C42" s="16" t="n">
        <v>4</v>
      </c>
      <c r="D42" s="16" t="inlineStr">
        <is>
          <t>Beginner</t>
        </is>
      </c>
      <c r="E42" s="16" t="inlineStr">
        <is>
          <t>L Beginner1</t>
        </is>
      </c>
      <c r="F42" s="16" t="inlineStr">
        <is>
          <t>1.30pm tournament Sunday</t>
        </is>
      </c>
      <c r="G42" s="61" t="n">
        <v>12</v>
      </c>
      <c r="H42" s="61">
        <f>COUNT(J42:BS42)</f>
        <v/>
      </c>
      <c r="I42" s="63">
        <f>G42-H42</f>
        <v/>
      </c>
      <c r="J42" s="61" t="n"/>
      <c r="K42" s="61" t="n"/>
      <c r="L42" s="61" t="n"/>
      <c r="M42" s="61" t="n"/>
      <c r="N42" s="60" t="n">
        <v>0.7083333333333334</v>
      </c>
      <c r="O42" s="61" t="inlineStr">
        <is>
          <t>Bathri</t>
        </is>
      </c>
      <c r="P42" s="22" t="n">
        <v>0.5625</v>
      </c>
      <c r="Q42" s="23" t="inlineStr">
        <is>
          <t>Abinaya</t>
        </is>
      </c>
      <c r="R42" s="61" t="n"/>
      <c r="S42" s="61" t="n"/>
      <c r="T42" s="61" t="n"/>
      <c r="U42" s="61" t="n"/>
      <c r="V42" s="83" t="n">
        <v>0.7083333333333334</v>
      </c>
      <c r="W42" s="84" t="inlineStr">
        <is>
          <t>Prakash</t>
        </is>
      </c>
      <c r="X42" s="61" t="n"/>
      <c r="Y42" s="61" t="n"/>
      <c r="Z42" s="61" t="n"/>
      <c r="AA42" s="61" t="n"/>
      <c r="AB42" s="60" t="n">
        <v>0.7083333333333334</v>
      </c>
      <c r="AC42" s="61" t="inlineStr">
        <is>
          <t>Bathri</t>
        </is>
      </c>
      <c r="AD42" s="54" t="n">
        <v>0.5625</v>
      </c>
      <c r="AE42" s="55" t="inlineStr">
        <is>
          <t>Abinaya</t>
        </is>
      </c>
      <c r="AF42" s="61" t="n"/>
      <c r="AG42" s="61" t="n"/>
      <c r="AH42" s="61" t="n"/>
      <c r="AI42" s="61" t="n"/>
      <c r="AJ42" s="83" t="n">
        <v>0.7083333333333334</v>
      </c>
      <c r="AK42" s="84" t="inlineStr">
        <is>
          <t>Prakash</t>
        </is>
      </c>
      <c r="AL42" s="61" t="n"/>
      <c r="AM42" s="61" t="n"/>
      <c r="AN42" s="61" t="n"/>
      <c r="AO42" s="61" t="n"/>
      <c r="AP42" s="60" t="n">
        <v>0.7083333333333334</v>
      </c>
      <c r="AQ42" s="61" t="inlineStr">
        <is>
          <t>Bathri</t>
        </is>
      </c>
      <c r="AR42" s="54" t="n">
        <v>0.5625</v>
      </c>
      <c r="AS42" s="55" t="inlineStr">
        <is>
          <t>Abinaya</t>
        </is>
      </c>
      <c r="AT42" s="61" t="n"/>
      <c r="AU42" s="61" t="n"/>
      <c r="AV42" s="61" t="n"/>
      <c r="AW42" s="61" t="n"/>
      <c r="AX42" s="83" t="n">
        <v>0.7083333333333334</v>
      </c>
      <c r="AY42" s="84" t="inlineStr">
        <is>
          <t>Prakash</t>
        </is>
      </c>
      <c r="AZ42" s="61" t="n"/>
      <c r="BA42" s="61" t="n"/>
      <c r="BB42" s="61" t="n"/>
      <c r="BC42" s="61" t="n"/>
      <c r="BD42" s="61" t="n"/>
      <c r="BE42" s="61" t="n"/>
      <c r="BF42" s="54" t="n">
        <v>0.5625</v>
      </c>
      <c r="BG42" s="55" t="inlineStr">
        <is>
          <t>Abinaya</t>
        </is>
      </c>
      <c r="BH42" s="61" t="n"/>
      <c r="BI42" s="61" t="n"/>
      <c r="BJ42" s="61" t="n"/>
      <c r="BK42" s="61" t="n"/>
      <c r="BL42" s="83" t="n">
        <v>0.7083333333333334</v>
      </c>
      <c r="BM42" s="84" t="inlineStr">
        <is>
          <t>Prakash</t>
        </is>
      </c>
      <c r="BN42" s="61" t="n"/>
      <c r="BO42" s="61" t="n"/>
      <c r="BP42" s="61" t="n"/>
      <c r="BQ42" s="61" t="n"/>
      <c r="BR42" s="60" t="n">
        <v>0.7083333333333334</v>
      </c>
      <c r="BS42" s="61" t="inlineStr">
        <is>
          <t>Bathri</t>
        </is>
      </c>
      <c r="BT42" s="16" t="n"/>
      <c r="BU42" s="61">
        <f>MIN(G42,12)</f>
        <v/>
      </c>
      <c r="BV42" s="61">
        <f>COUNT(J42:W42)</f>
        <v/>
      </c>
      <c r="BW42" s="61">
        <f>COUNT(X42:AK42)</f>
        <v/>
      </c>
      <c r="BX42" s="61">
        <f>COUNT(AL42:AY42)</f>
        <v/>
      </c>
      <c r="BY42" s="61">
        <f>COUNT(AZ42:BS42)</f>
        <v/>
      </c>
      <c r="BZ42" s="61">
        <f>IF(AND(H42=$BU42,BV42&gt;=INT($BU42/4),BV42&lt;=INT($BU42/4)+IF(MOD($BU42,4)&gt;0,1,0),BW42&gt;=INT($BU42/4),BW42&lt;=INT($BU42/4)+IF(MOD($BU42,4)&gt;0,1,0),BX42&gt;=INT($BU42/4),BX42&lt;=INT($BU42/4)+IF(MOD($BU42,4)&gt;0,1,0),BY42&gt;=INT($BU42/4),BY42&lt;=INT($BU42/4)+IF(MOD($BU42,4)&gt;0,1,0)),"OK","CHECK")</f>
        <v/>
      </c>
    </row>
    <row r="43" ht="15" customHeight="1">
      <c r="A43" s="16" t="inlineStr">
        <is>
          <t>S.V.Kavisree</t>
        </is>
      </c>
      <c r="B43" s="16" t="inlineStr">
        <is>
          <t>MKS00111</t>
        </is>
      </c>
      <c r="C43" s="16" t="n">
        <v>3.4</v>
      </c>
      <c r="D43" s="16" t="inlineStr">
        <is>
          <t>Beginner</t>
        </is>
      </c>
      <c r="E43" s="16" t="inlineStr">
        <is>
          <t>L Beginner1</t>
        </is>
      </c>
      <c r="F43" s="16" t="inlineStr">
        <is>
          <t>1.30pm tournament Sunday</t>
        </is>
      </c>
      <c r="G43" s="61" t="n">
        <v>12</v>
      </c>
      <c r="H43" s="61">
        <f>COUNT(J43:BS43)</f>
        <v/>
      </c>
      <c r="I43" s="63">
        <f>G43-H43</f>
        <v/>
      </c>
      <c r="J43" s="61" t="n"/>
      <c r="K43" s="61" t="n"/>
      <c r="L43" s="61" t="n"/>
      <c r="M43" s="61" t="n"/>
      <c r="N43" s="60" t="n">
        <v>0.7083333333333334</v>
      </c>
      <c r="O43" s="61" t="inlineStr">
        <is>
          <t>Bathri</t>
        </is>
      </c>
      <c r="P43" s="22" t="n">
        <v>0.5625</v>
      </c>
      <c r="Q43" s="23" t="inlineStr">
        <is>
          <t>Abinaya</t>
        </is>
      </c>
      <c r="R43" s="61" t="n"/>
      <c r="S43" s="61" t="n"/>
      <c r="T43" s="61" t="n"/>
      <c r="U43" s="61" t="n"/>
      <c r="V43" s="83" t="n">
        <v>0.7083333333333334</v>
      </c>
      <c r="W43" s="84" t="inlineStr">
        <is>
          <t>Prakash</t>
        </is>
      </c>
      <c r="X43" s="61" t="n"/>
      <c r="Y43" s="61" t="n"/>
      <c r="Z43" s="61" t="n"/>
      <c r="AA43" s="61" t="n"/>
      <c r="AB43" s="60" t="n">
        <v>0.7083333333333334</v>
      </c>
      <c r="AC43" s="61" t="inlineStr">
        <is>
          <t>Bathri</t>
        </is>
      </c>
      <c r="AD43" s="54" t="n">
        <v>0.5625</v>
      </c>
      <c r="AE43" s="55" t="inlineStr">
        <is>
          <t>Abinaya</t>
        </is>
      </c>
      <c r="AF43" s="61" t="n"/>
      <c r="AG43" s="61" t="n"/>
      <c r="AH43" s="61" t="n"/>
      <c r="AI43" s="61" t="n"/>
      <c r="AJ43" s="83" t="n">
        <v>0.7083333333333334</v>
      </c>
      <c r="AK43" s="84" t="inlineStr">
        <is>
          <t>Prakash</t>
        </is>
      </c>
      <c r="AL43" s="61" t="n"/>
      <c r="AM43" s="61" t="n"/>
      <c r="AN43" s="61" t="n"/>
      <c r="AO43" s="61" t="n"/>
      <c r="AP43" s="60" t="n">
        <v>0.7083333333333334</v>
      </c>
      <c r="AQ43" s="61" t="inlineStr">
        <is>
          <t>Bathri</t>
        </is>
      </c>
      <c r="AR43" s="54" t="n">
        <v>0.5625</v>
      </c>
      <c r="AS43" s="55" t="inlineStr">
        <is>
          <t>Abinaya</t>
        </is>
      </c>
      <c r="AT43" s="61" t="n"/>
      <c r="AU43" s="61" t="n"/>
      <c r="AV43" s="61" t="n"/>
      <c r="AW43" s="61" t="n"/>
      <c r="AX43" s="83" t="n">
        <v>0.7083333333333334</v>
      </c>
      <c r="AY43" s="84" t="inlineStr">
        <is>
          <t>Prakash</t>
        </is>
      </c>
      <c r="AZ43" s="61" t="n"/>
      <c r="BA43" s="61" t="n"/>
      <c r="BB43" s="61" t="n"/>
      <c r="BC43" s="61" t="n"/>
      <c r="BD43" s="61" t="n"/>
      <c r="BE43" s="61" t="n"/>
      <c r="BF43" s="54" t="n">
        <v>0.5625</v>
      </c>
      <c r="BG43" s="55" t="inlineStr">
        <is>
          <t>Abinaya</t>
        </is>
      </c>
      <c r="BH43" s="61" t="n"/>
      <c r="BI43" s="61" t="n"/>
      <c r="BJ43" s="61" t="n"/>
      <c r="BK43" s="61" t="n"/>
      <c r="BL43" s="83" t="n">
        <v>0.7083333333333334</v>
      </c>
      <c r="BM43" s="84" t="inlineStr">
        <is>
          <t>Prakash</t>
        </is>
      </c>
      <c r="BN43" s="61" t="n"/>
      <c r="BO43" s="61" t="n"/>
      <c r="BP43" s="61" t="n"/>
      <c r="BQ43" s="61" t="n"/>
      <c r="BR43" s="60" t="n">
        <v>0.7083333333333334</v>
      </c>
      <c r="BS43" s="61" t="inlineStr">
        <is>
          <t>Bathri</t>
        </is>
      </c>
      <c r="BT43" s="16" t="n"/>
      <c r="BU43" s="61">
        <f>MIN(G43,12)</f>
        <v/>
      </c>
      <c r="BV43" s="61">
        <f>COUNT(J43:W43)</f>
        <v/>
      </c>
      <c r="BW43" s="61">
        <f>COUNT(X43:AK43)</f>
        <v/>
      </c>
      <c r="BX43" s="61">
        <f>COUNT(AL43:AY43)</f>
        <v/>
      </c>
      <c r="BY43" s="61">
        <f>COUNT(AZ43:BS43)</f>
        <v/>
      </c>
      <c r="BZ43" s="61">
        <f>IF(AND(H43=$BU43,BV43&gt;=INT($BU43/4),BV43&lt;=INT($BU43/4)+IF(MOD($BU43,4)&gt;0,1,0),BW43&gt;=INT($BU43/4),BW43&lt;=INT($BU43/4)+IF(MOD($BU43,4)&gt;0,1,0),BX43&gt;=INT($BU43/4),BX43&lt;=INT($BU43/4)+IF(MOD($BU43,4)&gt;0,1,0),BY43&gt;=INT($BU43/4),BY43&lt;=INT($BU43/4)+IF(MOD($BU43,4)&gt;0,1,0)),"OK","CHECK")</f>
        <v/>
      </c>
    </row>
    <row r="44" ht="15" customHeight="1">
      <c r="A44" s="16" t="inlineStr">
        <is>
          <t>Vikaesh</t>
        </is>
      </c>
      <c r="B44" s="16" t="inlineStr">
        <is>
          <t>MKS00221</t>
        </is>
      </c>
      <c r="C44" s="16" t="n">
        <v>2.1</v>
      </c>
      <c r="D44" s="16" t="inlineStr">
        <is>
          <t>Beginner</t>
        </is>
      </c>
      <c r="E44" s="16" t="inlineStr">
        <is>
          <t>I Beginner1</t>
        </is>
      </c>
      <c r="F44" s="16" t="n"/>
      <c r="G44" s="61" t="n">
        <v>12</v>
      </c>
      <c r="H44" s="61">
        <f>COUNT(J44:BS44)</f>
        <v/>
      </c>
      <c r="I44" s="63">
        <f>G44-H44</f>
        <v/>
      </c>
      <c r="J44" s="61" t="n"/>
      <c r="K44" s="61" t="n"/>
      <c r="L44" s="61" t="n"/>
      <c r="M44" s="61" t="n"/>
      <c r="N44" s="61" t="n"/>
      <c r="O44" s="61" t="n"/>
      <c r="P44" s="32" t="n">
        <v>0.375</v>
      </c>
      <c r="Q44" s="19" t="inlineStr">
        <is>
          <t>Bathri</t>
        </is>
      </c>
      <c r="R44" s="60" t="n">
        <v>0.75</v>
      </c>
      <c r="S44" s="61" t="inlineStr">
        <is>
          <t>Bathri</t>
        </is>
      </c>
      <c r="T44" s="61" t="n"/>
      <c r="U44" s="61" t="n"/>
      <c r="V44" s="60" t="n">
        <v>0.75</v>
      </c>
      <c r="W44" s="61" t="inlineStr">
        <is>
          <t>Bathri</t>
        </is>
      </c>
      <c r="X44" s="61" t="n"/>
      <c r="Y44" s="61" t="n"/>
      <c r="Z44" s="61" t="n"/>
      <c r="AA44" s="61" t="n"/>
      <c r="AB44" s="61" t="n"/>
      <c r="AC44" s="61" t="n"/>
      <c r="AD44" s="32" t="n">
        <v>0.375</v>
      </c>
      <c r="AE44" s="19" t="inlineStr">
        <is>
          <t>Bathri</t>
        </is>
      </c>
      <c r="AF44" s="60" t="n">
        <v>0.75</v>
      </c>
      <c r="AG44" s="61" t="inlineStr">
        <is>
          <t>Bathri</t>
        </is>
      </c>
      <c r="AH44" s="61" t="n"/>
      <c r="AI44" s="61" t="n"/>
      <c r="AJ44" s="60" t="n">
        <v>0.75</v>
      </c>
      <c r="AK44" s="61" t="inlineStr">
        <is>
          <t>Bathri</t>
        </is>
      </c>
      <c r="AL44" s="61" t="n"/>
      <c r="AM44" s="61" t="n"/>
      <c r="AN44" s="61" t="n"/>
      <c r="AO44" s="61" t="n"/>
      <c r="AP44" s="61" t="n"/>
      <c r="AQ44" s="61" t="n"/>
      <c r="AR44" s="32" t="n">
        <v>0.375</v>
      </c>
      <c r="AS44" s="19" t="inlineStr">
        <is>
          <t>Bathri</t>
        </is>
      </c>
      <c r="AT44" s="60" t="n">
        <v>0.75</v>
      </c>
      <c r="AU44" s="61" t="inlineStr">
        <is>
          <t>Bathri</t>
        </is>
      </c>
      <c r="AV44" s="61" t="n"/>
      <c r="AW44" s="61" t="n"/>
      <c r="AX44" s="60" t="n">
        <v>0.75</v>
      </c>
      <c r="AY44" s="61" t="inlineStr">
        <is>
          <t>Bathri</t>
        </is>
      </c>
      <c r="AZ44" s="61" t="n"/>
      <c r="BA44" s="61" t="n"/>
      <c r="BB44" s="61" t="n"/>
      <c r="BC44" s="61" t="n"/>
      <c r="BD44" s="61" t="n"/>
      <c r="BE44" s="61" t="n"/>
      <c r="BF44" s="32" t="n">
        <v>0.375</v>
      </c>
      <c r="BG44" s="19" t="inlineStr">
        <is>
          <t>Bathri</t>
        </is>
      </c>
      <c r="BH44" s="60" t="n">
        <v>0.75</v>
      </c>
      <c r="BI44" s="61" t="inlineStr">
        <is>
          <t>Bathri</t>
        </is>
      </c>
      <c r="BJ44" s="61" t="n"/>
      <c r="BK44" s="61" t="n"/>
      <c r="BL44" s="60" t="n">
        <v>0.75</v>
      </c>
      <c r="BM44" s="61" t="inlineStr">
        <is>
          <t>Bathri</t>
        </is>
      </c>
      <c r="BN44" s="61" t="n"/>
      <c r="BO44" s="61" t="n"/>
      <c r="BP44" s="61" t="n"/>
      <c r="BQ44" s="61" t="n"/>
      <c r="BR44" s="61" t="n"/>
      <c r="BS44" s="61" t="n"/>
      <c r="BT44" s="16" t="n"/>
      <c r="BU44" s="61">
        <f>MIN(G44,12)</f>
        <v/>
      </c>
      <c r="BV44" s="61">
        <f>COUNT(J44:W44)</f>
        <v/>
      </c>
      <c r="BW44" s="61">
        <f>COUNT(X44:AK44)</f>
        <v/>
      </c>
      <c r="BX44" s="61">
        <f>COUNT(AL44:AY44)</f>
        <v/>
      </c>
      <c r="BY44" s="61">
        <f>COUNT(AZ44:BS44)</f>
        <v/>
      </c>
      <c r="BZ44" s="61">
        <f>IF(AND(H44=$BU44,BV44&gt;=INT($BU44/4),BV44&lt;=INT($BU44/4)+IF(MOD($BU44,4)&gt;0,1,0),BW44&gt;=INT($BU44/4),BW44&lt;=INT($BU44/4)+IF(MOD($BU44,4)&gt;0,1,0),BX44&gt;=INT($BU44/4),BX44&lt;=INT($BU44/4)+IF(MOD($BU44,4)&gt;0,1,0),BY44&gt;=INT($BU44/4),BY44&lt;=INT($BU44/4)+IF(MOD($BU44,4)&gt;0,1,0)),"OK","CHECK")</f>
        <v/>
      </c>
    </row>
    <row r="45" ht="15" customHeight="1">
      <c r="A45" s="16" t="inlineStr">
        <is>
          <t>Kaashvi Prakash</t>
        </is>
      </c>
      <c r="B45" s="16" t="inlineStr">
        <is>
          <t>MKS00184</t>
        </is>
      </c>
      <c r="C45" s="16" t="n">
        <v>1.5</v>
      </c>
      <c r="D45" s="16" t="inlineStr">
        <is>
          <t>Basic</t>
        </is>
      </c>
      <c r="E45" s="16" t="inlineStr">
        <is>
          <t>I Basic2</t>
        </is>
      </c>
      <c r="F45" s="16" t="n"/>
      <c r="G45" s="23" t="n">
        <v>4</v>
      </c>
      <c r="H45" s="61">
        <f>COUNT(J45:BS45)</f>
        <v/>
      </c>
      <c r="I45" s="63">
        <f>G45-H45</f>
        <v/>
      </c>
      <c r="J45" s="61" t="n"/>
      <c r="K45" s="61" t="n"/>
      <c r="L45" s="61" t="n"/>
      <c r="M45" s="61" t="n"/>
      <c r="N45" s="61" t="n"/>
      <c r="O45" s="61" t="n"/>
      <c r="P45" s="19" t="n"/>
      <c r="Q45" s="19" t="n"/>
      <c r="R45" s="61" t="n"/>
      <c r="S45" s="61" t="n"/>
      <c r="T45" s="61" t="n"/>
      <c r="U45" s="61" t="n"/>
      <c r="V45" s="60" t="n">
        <v>0.75</v>
      </c>
      <c r="W45" s="61" t="inlineStr">
        <is>
          <t>Prakash</t>
        </is>
      </c>
      <c r="X45" s="61" t="n"/>
      <c r="Y45" s="61" t="n"/>
      <c r="Z45" s="61" t="n"/>
      <c r="AA45" s="61" t="n"/>
      <c r="AB45" s="61" t="n"/>
      <c r="AC45" s="61" t="n"/>
      <c r="AD45" s="19" t="n"/>
      <c r="AE45" s="19" t="n"/>
      <c r="AF45" s="61" t="n"/>
      <c r="AG45" s="61" t="n"/>
      <c r="AH45" s="61" t="n"/>
      <c r="AI45" s="61" t="n"/>
      <c r="AJ45" s="60" t="n">
        <v>0.75</v>
      </c>
      <c r="AK45" s="61" t="inlineStr">
        <is>
          <t>Prakash</t>
        </is>
      </c>
      <c r="AL45" s="60" t="n"/>
      <c r="AM45" s="61" t="n"/>
      <c r="AN45" s="61" t="n"/>
      <c r="AO45" s="61" t="n"/>
      <c r="AP45" s="61" t="n"/>
      <c r="AQ45" s="61" t="n"/>
      <c r="AR45" s="19" t="n"/>
      <c r="AS45" s="19" t="n"/>
      <c r="AT45" s="61" t="n"/>
      <c r="AU45" s="61" t="n"/>
      <c r="AV45" s="61" t="n"/>
      <c r="AW45" s="61" t="n"/>
      <c r="AX45" s="60" t="n">
        <v>0.75</v>
      </c>
      <c r="AY45" s="61" t="inlineStr">
        <is>
          <t>Prakash</t>
        </is>
      </c>
      <c r="AZ45" s="61" t="n"/>
      <c r="BA45" s="61" t="n"/>
      <c r="BB45" s="61" t="n"/>
      <c r="BC45" s="61" t="n"/>
      <c r="BD45" s="61" t="n"/>
      <c r="BE45" s="61" t="n"/>
      <c r="BF45" s="19" t="n"/>
      <c r="BG45" s="19" t="n"/>
      <c r="BH45" s="61" t="n"/>
      <c r="BI45" s="61" t="n"/>
      <c r="BJ45" s="61" t="n"/>
      <c r="BK45" s="61" t="n"/>
      <c r="BL45" s="60" t="n">
        <v>0.75</v>
      </c>
      <c r="BM45" s="61" t="inlineStr">
        <is>
          <t>Prakash</t>
        </is>
      </c>
      <c r="BN45" s="61" t="n"/>
      <c r="BO45" s="61" t="n"/>
      <c r="BP45" s="61" t="n"/>
      <c r="BQ45" s="61" t="n"/>
      <c r="BR45" s="61" t="n"/>
      <c r="BS45" s="61" t="n"/>
      <c r="BT45" s="16" t="n"/>
      <c r="BU45" s="61">
        <f>MIN(G45,12)</f>
        <v/>
      </c>
      <c r="BV45" s="61">
        <f>COUNT(J45:W45)</f>
        <v/>
      </c>
      <c r="BW45" s="61">
        <f>COUNT(X45:AK45)</f>
        <v/>
      </c>
      <c r="BX45" s="61">
        <f>COUNT(AL45:AY45)</f>
        <v/>
      </c>
      <c r="BY45" s="61">
        <f>COUNT(AZ45:BS45)</f>
        <v/>
      </c>
      <c r="BZ45" s="61">
        <f>IF(AND(H45=$BU45,BV45&gt;=INT($BU45/4),BV45&lt;=INT($BU45/4)+IF(MOD($BU45,4)&gt;0,1,0),BW45&gt;=INT($BU45/4),BW45&lt;=INT($BU45/4)+IF(MOD($BU45,4)&gt;0,1,0),BX45&gt;=INT($BU45/4),BX45&lt;=INT($BU45/4)+IF(MOD($BU45,4)&gt;0,1,0),BY45&gt;=INT($BU45/4),BY45&lt;=INT($BU45/4)+IF(MOD($BU45,4)&gt;0,1,0)),"OK","CHECK")</f>
        <v/>
      </c>
    </row>
    <row r="46" ht="15" customHeight="1">
      <c r="A46" s="16" t="inlineStr">
        <is>
          <t>C.V.Chanvika</t>
        </is>
      </c>
      <c r="B46" s="16" t="inlineStr">
        <is>
          <t>MKS00196</t>
        </is>
      </c>
      <c r="C46" s="16" t="n">
        <v>0.7</v>
      </c>
      <c r="D46" s="16" t="inlineStr">
        <is>
          <t>Basic</t>
        </is>
      </c>
      <c r="E46" s="16" t="inlineStr">
        <is>
          <t>L Basic1</t>
        </is>
      </c>
      <c r="F46" s="16" t="inlineStr">
        <is>
          <t>Should check for Saturday morning classes</t>
        </is>
      </c>
      <c r="G46" s="61" t="n">
        <v>12</v>
      </c>
      <c r="H46" s="61">
        <f>COUNT(J46:BS46)</f>
        <v/>
      </c>
      <c r="I46" s="63">
        <f>G46-H46</f>
        <v/>
      </c>
      <c r="J46" s="61" t="n"/>
      <c r="K46" s="61" t="n"/>
      <c r="L46" s="61" t="n"/>
      <c r="M46" s="61" t="n"/>
      <c r="N46" s="22" t="n">
        <v>0.7083333333333334</v>
      </c>
      <c r="O46" s="23" t="inlineStr">
        <is>
          <t>Abinaya</t>
        </is>
      </c>
      <c r="P46" s="19" t="n"/>
      <c r="Q46" s="19" t="n"/>
      <c r="R46" s="60" t="n">
        <v>0.7916666666666666</v>
      </c>
      <c r="S46" s="61" t="inlineStr">
        <is>
          <t>Abinaya</t>
        </is>
      </c>
      <c r="T46" s="61" t="n"/>
      <c r="U46" s="61" t="n"/>
      <c r="V46" s="60" t="n">
        <v>0.7916666666666666</v>
      </c>
      <c r="W46" s="61" t="inlineStr">
        <is>
          <t>Abinaya</t>
        </is>
      </c>
      <c r="X46" s="61" t="n"/>
      <c r="Y46" s="61" t="n"/>
      <c r="Z46" s="61" t="n"/>
      <c r="AA46" s="61" t="n"/>
      <c r="AB46" s="24" t="n">
        <v>0.7916666666666666</v>
      </c>
      <c r="AC46" s="25" t="inlineStr">
        <is>
          <t>Abinaya</t>
        </is>
      </c>
      <c r="AD46" s="19" t="n"/>
      <c r="AE46" s="19" t="n"/>
      <c r="AF46" s="60" t="n">
        <v>0.7916666666666666</v>
      </c>
      <c r="AG46" s="61" t="inlineStr">
        <is>
          <t>Abinaya</t>
        </is>
      </c>
      <c r="AH46" s="61" t="n"/>
      <c r="AI46" s="61" t="n"/>
      <c r="AJ46" s="60" t="n">
        <v>0.7916666666666666</v>
      </c>
      <c r="AK46" s="61" t="inlineStr">
        <is>
          <t>Abinaya</t>
        </is>
      </c>
      <c r="AL46" s="61" t="n"/>
      <c r="AM46" s="61" t="n"/>
      <c r="AN46" s="60" t="n">
        <v>0.7916666666666666</v>
      </c>
      <c r="AO46" s="61" t="inlineStr">
        <is>
          <t>Abinaya</t>
        </is>
      </c>
      <c r="AP46" s="61" t="n"/>
      <c r="AQ46" s="61" t="n"/>
      <c r="AR46" s="19" t="n"/>
      <c r="AS46" s="19" t="n"/>
      <c r="AT46" s="60" t="n">
        <v>0.7916666666666666</v>
      </c>
      <c r="AU46" s="61" t="inlineStr">
        <is>
          <t>Abinaya</t>
        </is>
      </c>
      <c r="AV46" s="24" t="n">
        <v>0.7916666666666666</v>
      </c>
      <c r="AW46" s="25" t="inlineStr">
        <is>
          <t>Abinaya</t>
        </is>
      </c>
      <c r="AX46" s="61" t="n"/>
      <c r="AY46" s="61" t="n"/>
      <c r="AZ46" s="61" t="n"/>
      <c r="BA46" s="61" t="n"/>
      <c r="BB46" s="61" t="n"/>
      <c r="BC46" s="61" t="n"/>
      <c r="BD46" s="61" t="n"/>
      <c r="BE46" s="61" t="n"/>
      <c r="BF46" s="19" t="n"/>
      <c r="BG46" s="19" t="n"/>
      <c r="BH46" s="60" t="n">
        <v>0.7916666666666666</v>
      </c>
      <c r="BI46" s="61" t="inlineStr">
        <is>
          <t>Abinaya</t>
        </is>
      </c>
      <c r="BJ46" s="61" t="n"/>
      <c r="BK46" s="61" t="n"/>
      <c r="BL46" s="60" t="n">
        <v>0.7916666666666666</v>
      </c>
      <c r="BM46" s="61" t="inlineStr">
        <is>
          <t>Abinaya</t>
        </is>
      </c>
      <c r="BN46" s="61" t="n"/>
      <c r="BO46" s="61" t="n"/>
      <c r="BP46" s="60" t="n">
        <v>0.7916666666666666</v>
      </c>
      <c r="BQ46" s="61" t="inlineStr">
        <is>
          <t>Abinaya</t>
        </is>
      </c>
      <c r="BR46" s="61" t="n"/>
      <c r="BS46" s="61" t="n"/>
      <c r="BT46" s="16" t="n"/>
      <c r="BU46" s="61">
        <f>MIN(G46,12)</f>
        <v/>
      </c>
      <c r="BV46" s="61">
        <f>COUNT(J46:W46)</f>
        <v/>
      </c>
      <c r="BW46" s="61">
        <f>COUNT(X46:AK46)</f>
        <v/>
      </c>
      <c r="BX46" s="61">
        <f>COUNT(AL46:AY46)</f>
        <v/>
      </c>
      <c r="BY46" s="61">
        <f>COUNT(AZ46:BS46)</f>
        <v/>
      </c>
      <c r="BZ46" s="61">
        <f>IF(AND(H46=$BU46,BV46&gt;=INT($BU46/4),BV46&lt;=INT($BU46/4)+IF(MOD($BU46,4)&gt;0,1,0),BW46&gt;=INT($BU46/4),BW46&lt;=INT($BU46/4)+IF(MOD($BU46,4)&gt;0,1,0),BX46&gt;=INT($BU46/4),BX46&lt;=INT($BU46/4)+IF(MOD($BU46,4)&gt;0,1,0),BY46&gt;=INT($BU46/4),BY46&lt;=INT($BU46/4)+IF(MOD($BU46,4)&gt;0,1,0)),"OK","CHECK")</f>
        <v/>
      </c>
    </row>
    <row r="47" ht="15" customHeight="1">
      <c r="A47" s="16" t="inlineStr">
        <is>
          <t>A.Bavinesh</t>
        </is>
      </c>
      <c r="B47" s="16" t="inlineStr">
        <is>
          <t>MKS00214</t>
        </is>
      </c>
      <c r="C47" s="16" t="n">
        <v>0.6</v>
      </c>
      <c r="D47" s="16" t="inlineStr">
        <is>
          <t>Basic</t>
        </is>
      </c>
      <c r="E47" s="16" t="inlineStr">
        <is>
          <t>G Basic1</t>
        </is>
      </c>
      <c r="F47" s="16" t="inlineStr">
        <is>
          <t>Level Basic1 &amp; 2 should not be mingled</t>
        </is>
      </c>
      <c r="G47" s="61" t="n">
        <v>12</v>
      </c>
      <c r="H47" s="61">
        <f>COUNT(J47:BS47)</f>
        <v/>
      </c>
      <c r="I47" s="63">
        <f>G47-H47</f>
        <v/>
      </c>
      <c r="J47" s="61" t="n"/>
      <c r="K47" s="61" t="n"/>
      <c r="L47" s="60" t="n">
        <v>0.7916666666666666</v>
      </c>
      <c r="M47" s="61" t="inlineStr">
        <is>
          <t>Abinaya</t>
        </is>
      </c>
      <c r="N47" s="61" t="n"/>
      <c r="O47" s="61" t="n"/>
      <c r="P47" s="19" t="n"/>
      <c r="Q47" s="19" t="n"/>
      <c r="R47" s="60" t="n">
        <v>0.7916666666666666</v>
      </c>
      <c r="S47" s="61" t="inlineStr">
        <is>
          <t>Abinaya</t>
        </is>
      </c>
      <c r="T47" s="61" t="n"/>
      <c r="U47" s="61" t="n"/>
      <c r="V47" s="60" t="n">
        <v>0.7916666666666666</v>
      </c>
      <c r="W47" s="61" t="inlineStr">
        <is>
          <t>Abinaya</t>
        </is>
      </c>
      <c r="X47" s="61" t="n"/>
      <c r="Y47" s="61" t="n"/>
      <c r="Z47" s="60" t="n">
        <v>0.7916666666666666</v>
      </c>
      <c r="AA47" s="61" t="inlineStr">
        <is>
          <t>Abinaya</t>
        </is>
      </c>
      <c r="AB47" s="61" t="n"/>
      <c r="AC47" s="61" t="n"/>
      <c r="AD47" s="19" t="n"/>
      <c r="AE47" s="19" t="n"/>
      <c r="AF47" s="60" t="n">
        <v>0.7916666666666666</v>
      </c>
      <c r="AG47" s="61" t="inlineStr">
        <is>
          <t>Abinaya</t>
        </is>
      </c>
      <c r="AH47" s="83" t="n">
        <v>0.7916666666666666</v>
      </c>
      <c r="AI47" s="84" t="inlineStr">
        <is>
          <t>Abinaya</t>
        </is>
      </c>
      <c r="AJ47" s="60" t="n"/>
      <c r="AK47" s="61" t="n"/>
      <c r="AL47" s="61" t="n"/>
      <c r="AM47" s="61" t="n"/>
      <c r="AN47" s="60" t="n">
        <v>0.7916666666666666</v>
      </c>
      <c r="AO47" s="61" t="inlineStr">
        <is>
          <t>Abinaya</t>
        </is>
      </c>
      <c r="AP47" s="61" t="n"/>
      <c r="AQ47" s="61" t="n"/>
      <c r="AR47" s="19" t="n"/>
      <c r="AS47" s="19" t="n"/>
      <c r="AT47" s="60" t="n">
        <v>0.7916666666666666</v>
      </c>
      <c r="AU47" s="61" t="inlineStr">
        <is>
          <t>Abinaya</t>
        </is>
      </c>
      <c r="AV47" s="61" t="n"/>
      <c r="AW47" s="61" t="n"/>
      <c r="AX47" s="60" t="n">
        <v>0.7916666666666666</v>
      </c>
      <c r="AY47" s="61" t="inlineStr">
        <is>
          <t>Abinaya</t>
        </is>
      </c>
      <c r="AZ47" s="61" t="n"/>
      <c r="BA47" s="61" t="n"/>
      <c r="BB47" s="83" t="n">
        <v>0.7916666666666666</v>
      </c>
      <c r="BC47" s="84" t="inlineStr">
        <is>
          <t>Abinaya</t>
        </is>
      </c>
      <c r="BD47" s="61" t="n"/>
      <c r="BE47" s="61" t="n"/>
      <c r="BF47" s="19" t="n"/>
      <c r="BG47" s="19" t="n"/>
      <c r="BH47" s="60" t="n">
        <v>0.7916666666666666</v>
      </c>
      <c r="BI47" s="61" t="inlineStr">
        <is>
          <t>Abinaya</t>
        </is>
      </c>
      <c r="BJ47" s="61" t="n"/>
      <c r="BK47" s="61" t="n"/>
      <c r="BL47" s="60" t="n">
        <v>0.7916666666666666</v>
      </c>
      <c r="BM47" s="61" t="inlineStr">
        <is>
          <t>Abinaya</t>
        </is>
      </c>
      <c r="BN47" s="61" t="n"/>
      <c r="BO47" s="61" t="n"/>
      <c r="BP47" s="60" t="n"/>
      <c r="BQ47" s="61" t="n"/>
      <c r="BR47" s="61" t="n"/>
      <c r="BS47" s="61" t="n"/>
      <c r="BT47" s="16" t="n"/>
      <c r="BU47" s="61">
        <f>MIN(G47,12)</f>
        <v/>
      </c>
      <c r="BV47" s="61">
        <f>COUNT(J47:W47)</f>
        <v/>
      </c>
      <c r="BW47" s="61">
        <f>COUNT(X47:AK47)</f>
        <v/>
      </c>
      <c r="BX47" s="61">
        <f>COUNT(AL47:AY47)</f>
        <v/>
      </c>
      <c r="BY47" s="61">
        <f>COUNT(AZ47:BS47)</f>
        <v/>
      </c>
      <c r="BZ47" s="61">
        <f>IF(AND(H47=$BU47,BV47&gt;=INT($BU47/4),BV47&lt;=INT($BU47/4)+IF(MOD($BU47,4)&gt;0,1,0),BW47&gt;=INT($BU47/4),BW47&lt;=INT($BU47/4)+IF(MOD($BU47,4)&gt;0,1,0),BX47&gt;=INT($BU47/4),BX47&lt;=INT($BU47/4)+IF(MOD($BU47,4)&gt;0,1,0),BY47&gt;=INT($BU47/4),BY47&lt;=INT($BU47/4)+IF(MOD($BU47,4)&gt;0,1,0)),"OK","CHECK")</f>
        <v/>
      </c>
    </row>
    <row r="48" ht="15" customHeight="1">
      <c r="A48" s="16" t="inlineStr">
        <is>
          <t>B.V.Tijesh</t>
        </is>
      </c>
      <c r="B48" s="16" t="inlineStr">
        <is>
          <t>MKS00219</t>
        </is>
      </c>
      <c r="C48" s="16" t="n">
        <v>0.5</v>
      </c>
      <c r="D48" s="16" t="inlineStr">
        <is>
          <t>Basic</t>
        </is>
      </c>
      <c r="E48" s="16" t="inlineStr">
        <is>
          <t>G Basic1</t>
        </is>
      </c>
      <c r="F48" s="16" t="inlineStr">
        <is>
          <t>Level Basic1 &amp; 2 should not be mingled</t>
        </is>
      </c>
      <c r="G48" s="61" t="n">
        <v>12</v>
      </c>
      <c r="H48" s="61">
        <f>COUNT(J48:BS48)</f>
        <v/>
      </c>
      <c r="I48" s="63">
        <f>G48-H48</f>
        <v/>
      </c>
      <c r="J48" s="61" t="n"/>
      <c r="K48" s="61" t="n"/>
      <c r="L48" s="60" t="n">
        <v>0.7916666666666666</v>
      </c>
      <c r="M48" s="61" t="inlineStr">
        <is>
          <t>Abinaya</t>
        </is>
      </c>
      <c r="N48" s="61" t="n"/>
      <c r="O48" s="61" t="n"/>
      <c r="P48" s="19" t="n"/>
      <c r="Q48" s="19" t="n"/>
      <c r="R48" s="60" t="n">
        <v>0.7916666666666666</v>
      </c>
      <c r="S48" s="61" t="inlineStr">
        <is>
          <t>Abinaya</t>
        </is>
      </c>
      <c r="T48" s="61" t="n"/>
      <c r="U48" s="61" t="n"/>
      <c r="V48" s="60" t="n">
        <v>0.7916666666666666</v>
      </c>
      <c r="W48" s="61" t="inlineStr">
        <is>
          <t>Abinaya</t>
        </is>
      </c>
      <c r="X48" s="61" t="n"/>
      <c r="Y48" s="61" t="n"/>
      <c r="Z48" s="60" t="n">
        <v>0.7916666666666666</v>
      </c>
      <c r="AA48" s="61" t="inlineStr">
        <is>
          <t>Abinaya</t>
        </is>
      </c>
      <c r="AB48" s="61" t="n"/>
      <c r="AC48" s="61" t="n"/>
      <c r="AD48" s="19" t="n"/>
      <c r="AE48" s="19" t="n"/>
      <c r="AF48" s="60" t="n">
        <v>0.7916666666666666</v>
      </c>
      <c r="AG48" s="61" t="inlineStr">
        <is>
          <t>Abinaya</t>
        </is>
      </c>
      <c r="AH48" s="61" t="n"/>
      <c r="AI48" s="61" t="n"/>
      <c r="AJ48" s="60" t="n">
        <v>0.7916666666666666</v>
      </c>
      <c r="AK48" s="61" t="inlineStr">
        <is>
          <t>Abinaya</t>
        </is>
      </c>
      <c r="AL48" s="61" t="n"/>
      <c r="AM48" s="61" t="n"/>
      <c r="AN48" s="61" t="n"/>
      <c r="AO48" s="61" t="n"/>
      <c r="AP48" s="24" t="n">
        <v>0.7916666666666666</v>
      </c>
      <c r="AQ48" s="25" t="inlineStr">
        <is>
          <t>Abinaya</t>
        </is>
      </c>
      <c r="AR48" s="19" t="n"/>
      <c r="AS48" s="19" t="n"/>
      <c r="AT48" s="60" t="n">
        <v>0.7916666666666666</v>
      </c>
      <c r="AU48" s="61" t="inlineStr">
        <is>
          <t>Abinaya</t>
        </is>
      </c>
      <c r="AV48" s="61" t="n"/>
      <c r="AW48" s="61" t="n"/>
      <c r="AX48" s="60" t="n">
        <v>0.7916666666666666</v>
      </c>
      <c r="AY48" s="61" t="inlineStr">
        <is>
          <t>Abinaya</t>
        </is>
      </c>
      <c r="AZ48" s="61" t="n"/>
      <c r="BA48" s="61" t="n"/>
      <c r="BB48" s="60" t="n">
        <v>0.7916666666666666</v>
      </c>
      <c r="BC48" s="61" t="inlineStr">
        <is>
          <t>Abinaya</t>
        </is>
      </c>
      <c r="BD48" s="61" t="n"/>
      <c r="BE48" s="61" t="n"/>
      <c r="BF48" s="19" t="n"/>
      <c r="BG48" s="19" t="n"/>
      <c r="BH48" s="61" t="n"/>
      <c r="BI48" s="61" t="n"/>
      <c r="BJ48" s="61" t="n"/>
      <c r="BK48" s="61" t="n"/>
      <c r="BL48" s="60" t="n">
        <v>0.7916666666666666</v>
      </c>
      <c r="BM48" s="61" t="inlineStr">
        <is>
          <t>Abinaya</t>
        </is>
      </c>
      <c r="BN48" s="61" t="n"/>
      <c r="BO48" s="61" t="n"/>
      <c r="BP48" s="60" t="n">
        <v>0.7916666666666666</v>
      </c>
      <c r="BQ48" s="61" t="inlineStr">
        <is>
          <t>Abinaya</t>
        </is>
      </c>
      <c r="BR48" s="61" t="n"/>
      <c r="BS48" s="61" t="n"/>
      <c r="BT48" s="16" t="n"/>
      <c r="BU48" s="61">
        <f>MIN(G48,12)</f>
        <v/>
      </c>
      <c r="BV48" s="61">
        <f>COUNT(J48:W48)</f>
        <v/>
      </c>
      <c r="BW48" s="61">
        <f>COUNT(X48:AK48)</f>
        <v/>
      </c>
      <c r="BX48" s="61">
        <f>COUNT(AL48:AY48)</f>
        <v/>
      </c>
      <c r="BY48" s="61">
        <f>COUNT(AZ48:BS48)</f>
        <v/>
      </c>
      <c r="BZ48" s="61">
        <f>IF(AND(H48=$BU48,BV48&gt;=INT($BU48/4),BV48&lt;=INT($BU48/4)+IF(MOD($BU48,4)&gt;0,1,0),BW48&gt;=INT($BU48/4),BW48&lt;=INT($BU48/4)+IF(MOD($BU48,4)&gt;0,1,0),BX48&gt;=INT($BU48/4),BX48&lt;=INT($BU48/4)+IF(MOD($BU48,4)&gt;0,1,0),BY48&gt;=INT($BU48/4),BY48&lt;=INT($BU48/4)+IF(MOD($BU48,4)&gt;0,1,0)),"OK","CHECK")</f>
        <v/>
      </c>
    </row>
    <row r="49" ht="15" customHeight="1">
      <c r="A49" s="16" t="inlineStr">
        <is>
          <t>V. Dhaksha</t>
        </is>
      </c>
      <c r="B49" s="16" t="inlineStr">
        <is>
          <t>MKS00110</t>
        </is>
      </c>
      <c r="C49" s="16" t="n">
        <v>3.4</v>
      </c>
      <c r="D49" s="16" t="inlineStr">
        <is>
          <t>Beginner</t>
        </is>
      </c>
      <c r="E49" s="16" t="inlineStr">
        <is>
          <t>I Beginner1</t>
        </is>
      </c>
      <c r="F49" s="16" t="n"/>
      <c r="G49" s="61" t="n">
        <v>10</v>
      </c>
      <c r="H49" s="61">
        <f>COUNT(J49:BS49)</f>
        <v/>
      </c>
      <c r="I49" s="63">
        <f>G49-H49</f>
        <v/>
      </c>
      <c r="J49" s="61" t="n"/>
      <c r="K49" s="61" t="n"/>
      <c r="L49" s="60" t="n">
        <v>0.7916666666666666</v>
      </c>
      <c r="M49" s="61" t="inlineStr">
        <is>
          <t>Bathri</t>
        </is>
      </c>
      <c r="N49" s="61" t="n"/>
      <c r="O49" s="61" t="n"/>
      <c r="P49" s="19" t="n"/>
      <c r="Q49" s="19" t="n"/>
      <c r="R49" s="60" t="n">
        <v>0.7916666666666666</v>
      </c>
      <c r="S49" s="61" t="inlineStr">
        <is>
          <t>Bathri</t>
        </is>
      </c>
      <c r="T49" s="61" t="n"/>
      <c r="U49" s="61" t="n"/>
      <c r="V49" s="60" t="n">
        <v>0.7916666666666666</v>
      </c>
      <c r="W49" s="61" t="inlineStr">
        <is>
          <t>Bathri</t>
        </is>
      </c>
      <c r="X49" s="61" t="n"/>
      <c r="Y49" s="61" t="n"/>
      <c r="Z49" s="60" t="n">
        <v>0.7916666666666666</v>
      </c>
      <c r="AA49" s="61" t="inlineStr">
        <is>
          <t>Bathri</t>
        </is>
      </c>
      <c r="AB49" s="61" t="n"/>
      <c r="AC49" s="61" t="n"/>
      <c r="AD49" s="19" t="n"/>
      <c r="AE49" s="19" t="n"/>
      <c r="AF49" s="61" t="n"/>
      <c r="AG49" s="61" t="n"/>
      <c r="AH49" s="61" t="n"/>
      <c r="AI49" s="61" t="n"/>
      <c r="AJ49" s="60" t="n">
        <v>0.7916666666666666</v>
      </c>
      <c r="AK49" s="61" t="inlineStr">
        <is>
          <t>Bathri</t>
        </is>
      </c>
      <c r="AL49" s="61" t="n"/>
      <c r="AM49" s="61" t="n"/>
      <c r="AN49" s="60" t="n">
        <v>0.7916666666666666</v>
      </c>
      <c r="AO49" s="61" t="inlineStr">
        <is>
          <t>Bathri</t>
        </is>
      </c>
      <c r="AP49" s="61" t="n"/>
      <c r="AQ49" s="61" t="n"/>
      <c r="AR49" s="19" t="n"/>
      <c r="AS49" s="19" t="n"/>
      <c r="AT49" s="60" t="n">
        <v>0.7916666666666666</v>
      </c>
      <c r="AU49" s="61" t="inlineStr">
        <is>
          <t>Bathri</t>
        </is>
      </c>
      <c r="AV49" s="61" t="n"/>
      <c r="AW49" s="61" t="n"/>
      <c r="AX49" s="61" t="n"/>
      <c r="AY49" s="61" t="n"/>
      <c r="AZ49" s="61" t="n"/>
      <c r="BA49" s="61" t="n"/>
      <c r="BB49" s="60" t="n">
        <v>0.7916666666666666</v>
      </c>
      <c r="BC49" s="61" t="inlineStr">
        <is>
          <t>Bathri</t>
        </is>
      </c>
      <c r="BD49" s="61" t="n"/>
      <c r="BE49" s="61" t="n"/>
      <c r="BF49" s="19" t="n"/>
      <c r="BG49" s="19" t="n"/>
      <c r="BH49" s="61" t="n"/>
      <c r="BI49" s="61" t="n"/>
      <c r="BJ49" s="61" t="n"/>
      <c r="BK49" s="61" t="n"/>
      <c r="BL49" s="60" t="n">
        <v>0.7916666666666666</v>
      </c>
      <c r="BM49" s="61" t="inlineStr">
        <is>
          <t>Bathri</t>
        </is>
      </c>
      <c r="BN49" s="61" t="n"/>
      <c r="BO49" s="61" t="n"/>
      <c r="BP49" s="60" t="n">
        <v>0.7916666666666666</v>
      </c>
      <c r="BQ49" s="61" t="inlineStr">
        <is>
          <t>Bathri</t>
        </is>
      </c>
      <c r="BR49" s="61" t="n"/>
      <c r="BS49" s="61" t="n"/>
      <c r="BT49" s="16" t="n"/>
      <c r="BU49" s="61">
        <f>MIN(G49,12)</f>
        <v/>
      </c>
      <c r="BV49" s="61">
        <f>COUNT(J49:W49)</f>
        <v/>
      </c>
      <c r="BW49" s="61">
        <f>COUNT(X49:AK49)</f>
        <v/>
      </c>
      <c r="BX49" s="61">
        <f>COUNT(AL49:AY49)</f>
        <v/>
      </c>
      <c r="BY49" s="61">
        <f>COUNT(AZ49:BS49)</f>
        <v/>
      </c>
      <c r="BZ49" s="61">
        <f>IF(AND(H49=$BU49,BV49&gt;=INT($BU49/4),BV49&lt;=INT($BU49/4)+IF(MOD($BU49,4)&gt;0,1,0),BW49&gt;=INT($BU49/4),BW49&lt;=INT($BU49/4)+IF(MOD($BU49,4)&gt;0,1,0),BX49&gt;=INT($BU49/4),BX49&lt;=INT($BU49/4)+IF(MOD($BU49,4)&gt;0,1,0),BY49&gt;=INT($BU49/4),BY49&lt;=INT($BU49/4)+IF(MOD($BU49,4)&gt;0,1,0)),"OK","CHECK")</f>
        <v/>
      </c>
    </row>
    <row r="50" ht="15" customHeight="1">
      <c r="A50" s="16" t="inlineStr">
        <is>
          <t>Samuel Rajan</t>
        </is>
      </c>
      <c r="B50" s="16" t="inlineStr">
        <is>
          <t>MKS00182</t>
        </is>
      </c>
      <c r="C50" s="16" t="n">
        <v>5.6</v>
      </c>
      <c r="D50" s="28" t="inlineStr">
        <is>
          <t>Intermediate</t>
        </is>
      </c>
      <c r="E50" s="28" t="inlineStr">
        <is>
          <t>G Intermediate1</t>
        </is>
      </c>
      <c r="F50" s="16" t="inlineStr">
        <is>
          <t>Monday 8pm batch change</t>
        </is>
      </c>
      <c r="G50" s="61" t="n">
        <v>12</v>
      </c>
      <c r="H50" s="61">
        <f>COUNT(J50:BS50)</f>
        <v/>
      </c>
      <c r="I50" s="63">
        <f>G50-H50</f>
        <v/>
      </c>
      <c r="J50" s="61" t="n"/>
      <c r="K50" s="61" t="n"/>
      <c r="L50" s="60" t="n">
        <v>0.8333333333333334</v>
      </c>
      <c r="M50" s="61" t="inlineStr">
        <is>
          <t>Dhaanush</t>
        </is>
      </c>
      <c r="N50" s="83" t="n">
        <v>0.7916666666666666</v>
      </c>
      <c r="O50" s="84" t="inlineStr">
        <is>
          <t>Saravanan</t>
        </is>
      </c>
      <c r="P50" s="19" t="n"/>
      <c r="Q50" s="19" t="n"/>
      <c r="R50" s="60" t="n"/>
      <c r="S50" s="61" t="n"/>
      <c r="T50" s="61" t="n"/>
      <c r="U50" s="61" t="n"/>
      <c r="V50" s="60" t="n">
        <v>0.7916666666666666</v>
      </c>
      <c r="W50" s="61" t="inlineStr">
        <is>
          <t>Saravanan</t>
        </is>
      </c>
      <c r="X50" s="61" t="n"/>
      <c r="Y50" s="61" t="n"/>
      <c r="Z50" s="60" t="n">
        <v>0.8333333333333334</v>
      </c>
      <c r="AA50" s="61" t="inlineStr">
        <is>
          <t>Dhaanush</t>
        </is>
      </c>
      <c r="AB50" s="61" t="n"/>
      <c r="AC50" s="61" t="n"/>
      <c r="AD50" s="19" t="n"/>
      <c r="AE50" s="19" t="n"/>
      <c r="AF50" s="61" t="n"/>
      <c r="AG50" s="61" t="n"/>
      <c r="AH50" s="60" t="n">
        <v>0.8333333333333334</v>
      </c>
      <c r="AI50" s="61" t="inlineStr">
        <is>
          <t>Dhaanush</t>
        </is>
      </c>
      <c r="AJ50" s="60" t="n">
        <v>0.7916666666666666</v>
      </c>
      <c r="AK50" s="61" t="inlineStr">
        <is>
          <t>Saravanan</t>
        </is>
      </c>
      <c r="AL50" s="61" t="n"/>
      <c r="AM50" s="61" t="n"/>
      <c r="AN50" s="60" t="n">
        <v>0.8333333333333334</v>
      </c>
      <c r="AO50" s="61" t="inlineStr">
        <is>
          <t>Dhaanush</t>
        </is>
      </c>
      <c r="AP50" s="61" t="n"/>
      <c r="AQ50" s="61" t="n"/>
      <c r="AR50" s="19" t="n"/>
      <c r="AS50" s="19" t="n"/>
      <c r="AT50" s="61" t="n"/>
      <c r="AU50" s="61" t="n"/>
      <c r="AV50" s="60" t="n">
        <v>0.8333333333333334</v>
      </c>
      <c r="AW50" s="61" t="inlineStr">
        <is>
          <t>Dhaanush</t>
        </is>
      </c>
      <c r="AX50" s="60" t="n">
        <v>0.7916666666666666</v>
      </c>
      <c r="AY50" s="61" t="inlineStr">
        <is>
          <t>Saravanan</t>
        </is>
      </c>
      <c r="AZ50" s="61" t="n"/>
      <c r="BA50" s="61" t="n"/>
      <c r="BB50" s="60" t="n">
        <v>0.8333333333333334</v>
      </c>
      <c r="BC50" s="61" t="inlineStr">
        <is>
          <t>Dhaanush</t>
        </is>
      </c>
      <c r="BD50" s="61" t="n"/>
      <c r="BE50" s="61" t="n"/>
      <c r="BF50" s="19" t="n"/>
      <c r="BG50" s="19" t="n"/>
      <c r="BH50" s="61" t="n"/>
      <c r="BI50" s="61" t="n"/>
      <c r="BJ50" s="61" t="n"/>
      <c r="BK50" s="61" t="n"/>
      <c r="BL50" s="60" t="n">
        <v>0.7916666666666666</v>
      </c>
      <c r="BM50" s="61" t="inlineStr">
        <is>
          <t>Saravanan</t>
        </is>
      </c>
      <c r="BN50" s="61" t="n"/>
      <c r="BO50" s="61" t="n"/>
      <c r="BP50" s="60" t="n">
        <v>0.8333333333333334</v>
      </c>
      <c r="BQ50" s="61" t="inlineStr">
        <is>
          <t>Dhaanush</t>
        </is>
      </c>
      <c r="BR50" s="61" t="n"/>
      <c r="BS50" s="61" t="n"/>
      <c r="BT50" s="16" t="n"/>
      <c r="BU50" s="61">
        <f>MIN(G50,12)</f>
        <v/>
      </c>
      <c r="BV50" s="61">
        <f>COUNT(J50:W50)</f>
        <v/>
      </c>
      <c r="BW50" s="61">
        <f>COUNT(X50:AK50)</f>
        <v/>
      </c>
      <c r="BX50" s="61">
        <f>COUNT(AL50:AY50)</f>
        <v/>
      </c>
      <c r="BY50" s="61">
        <f>COUNT(AZ50:BS50)</f>
        <v/>
      </c>
      <c r="BZ50" s="61">
        <f>IF(AND(H50=$BU50,BV50&gt;=INT($BU50/4),BV50&lt;=INT($BU50/4)+IF(MOD($BU50,4)&gt;0,1,0),BW50&gt;=INT($BU50/4),BW50&lt;=INT($BU50/4)+IF(MOD($BU50,4)&gt;0,1,0),BX50&gt;=INT($BU50/4),BX50&lt;=INT($BU50/4)+IF(MOD($BU50,4)&gt;0,1,0),BY50&gt;=INT($BU50/4),BY50&lt;=INT($BU50/4)+IF(MOD($BU50,4)&gt;0,1,0)),"OK","CHECK")</f>
        <v/>
      </c>
    </row>
    <row r="51" ht="15" customHeight="1">
      <c r="A51" s="16" t="inlineStr">
        <is>
          <t>S.Raagavarshenee</t>
        </is>
      </c>
      <c r="B51" s="16" t="inlineStr">
        <is>
          <t>MKS00009</t>
        </is>
      </c>
      <c r="C51" s="16" t="n">
        <v>4.3</v>
      </c>
      <c r="D51" s="16" t="inlineStr">
        <is>
          <t>Early Intermediate</t>
        </is>
      </c>
      <c r="E51" s="16" t="inlineStr">
        <is>
          <t>G Early Intermediate2</t>
        </is>
      </c>
      <c r="F51" s="16" t="n"/>
      <c r="G51" s="61" t="n">
        <v>12</v>
      </c>
      <c r="H51" s="61">
        <f>COUNT(J51:BS51)</f>
        <v/>
      </c>
      <c r="I51" s="63">
        <f>G51-H51</f>
        <v/>
      </c>
      <c r="J51" s="61" t="n"/>
      <c r="K51" s="61" t="n"/>
      <c r="L51" s="61" t="n"/>
      <c r="M51" s="61" t="n"/>
      <c r="N51" s="60" t="n">
        <v>0.7916666666666666</v>
      </c>
      <c r="O51" s="61" t="inlineStr">
        <is>
          <t>Dhaanush</t>
        </is>
      </c>
      <c r="P51" s="32" t="n">
        <v>0.4166666666666667</v>
      </c>
      <c r="Q51" s="19" t="inlineStr">
        <is>
          <t>Abinaya</t>
        </is>
      </c>
      <c r="R51" s="61" t="n"/>
      <c r="S51" s="61" t="n"/>
      <c r="T51" s="61" t="n"/>
      <c r="U51" s="61" t="n"/>
      <c r="V51" s="60" t="n">
        <v>0.7916666666666666</v>
      </c>
      <c r="W51" s="61" t="inlineStr">
        <is>
          <t>Dhaanush</t>
        </is>
      </c>
      <c r="X51" s="61" t="n"/>
      <c r="Y51" s="61" t="n"/>
      <c r="Z51" s="61" t="n"/>
      <c r="AA51" s="61" t="n"/>
      <c r="AB51" s="60" t="n">
        <v>0.7916666666666666</v>
      </c>
      <c r="AC51" s="61" t="inlineStr">
        <is>
          <t>Dhaanush</t>
        </is>
      </c>
      <c r="AD51" s="32" t="n">
        <v>0.4166666666666667</v>
      </c>
      <c r="AE51" s="19" t="inlineStr">
        <is>
          <t>Abinaya</t>
        </is>
      </c>
      <c r="AF51" s="61" t="n"/>
      <c r="AG51" s="61" t="n"/>
      <c r="AH51" s="61" t="n"/>
      <c r="AI51" s="61" t="n"/>
      <c r="AJ51" s="60" t="n">
        <v>0.7916666666666666</v>
      </c>
      <c r="AK51" s="61" t="inlineStr">
        <is>
          <t>Dhaanush</t>
        </is>
      </c>
      <c r="AL51" s="61" t="n"/>
      <c r="AM51" s="61" t="n"/>
      <c r="AN51" s="61" t="n"/>
      <c r="AO51" s="61" t="n"/>
      <c r="AP51" s="60" t="n">
        <v>0.7916666666666666</v>
      </c>
      <c r="AQ51" s="61" t="inlineStr">
        <is>
          <t>Dhaanush</t>
        </is>
      </c>
      <c r="AR51" s="32" t="n">
        <v>0.4166666666666667</v>
      </c>
      <c r="AS51" s="19" t="inlineStr">
        <is>
          <t>Abinaya</t>
        </is>
      </c>
      <c r="AT51" s="61" t="n"/>
      <c r="AU51" s="61" t="n"/>
      <c r="AV51" s="61" t="n"/>
      <c r="AW51" s="61" t="n"/>
      <c r="AX51" s="60" t="n">
        <v>0.7916666666666666</v>
      </c>
      <c r="AY51" s="61" t="inlineStr">
        <is>
          <t>Dhaanush</t>
        </is>
      </c>
      <c r="AZ51" s="61" t="n"/>
      <c r="BA51" s="61" t="n"/>
      <c r="BB51" s="61" t="n"/>
      <c r="BC51" s="61" t="n"/>
      <c r="BD51" s="60" t="n">
        <v>0.7916666666666666</v>
      </c>
      <c r="BE51" s="61" t="inlineStr">
        <is>
          <t>Dhaanush</t>
        </is>
      </c>
      <c r="BF51" s="32" t="n">
        <v>0.4166666666666667</v>
      </c>
      <c r="BG51" s="19" t="inlineStr">
        <is>
          <t>Abinaya</t>
        </is>
      </c>
      <c r="BH51" s="61" t="n"/>
      <c r="BI51" s="61" t="n"/>
      <c r="BJ51" s="61" t="n"/>
      <c r="BK51" s="61" t="n"/>
      <c r="BL51" s="61" t="n"/>
      <c r="BM51" s="61" t="n"/>
      <c r="BN51" s="61" t="n"/>
      <c r="BO51" s="61" t="n"/>
      <c r="BP51" s="61" t="n"/>
      <c r="BQ51" s="61" t="n"/>
      <c r="BR51" s="60" t="n">
        <v>0.7916666666666666</v>
      </c>
      <c r="BS51" s="61" t="inlineStr">
        <is>
          <t>Dhaanush</t>
        </is>
      </c>
      <c r="BT51" s="16" t="n"/>
      <c r="BU51" s="61">
        <f>MIN(G51,12)</f>
        <v/>
      </c>
      <c r="BV51" s="61">
        <f>COUNT(J51:W51)</f>
        <v/>
      </c>
      <c r="BW51" s="61">
        <f>COUNT(X51:AK51)</f>
        <v/>
      </c>
      <c r="BX51" s="61">
        <f>COUNT(AL51:AY51)</f>
        <v/>
      </c>
      <c r="BY51" s="61">
        <f>COUNT(AZ51:BS51)</f>
        <v/>
      </c>
      <c r="BZ51" s="61">
        <f>IF(AND(H51=$BU51,BV51&gt;=INT($BU51/4),BV51&lt;=INT($BU51/4)+IF(MOD($BU51,4)&gt;0,1,0),BW51&gt;=INT($BU51/4),BW51&lt;=INT($BU51/4)+IF(MOD($BU51,4)&gt;0,1,0),BX51&gt;=INT($BU51/4),BX51&lt;=INT($BU51/4)+IF(MOD($BU51,4)&gt;0,1,0),BY51&gt;=INT($BU51/4),BY51&lt;=INT($BU51/4)+IF(MOD($BU51,4)&gt;0,1,0)),"OK","CHECK")</f>
        <v/>
      </c>
    </row>
    <row r="52" ht="15" customHeight="1">
      <c r="A52" s="16" t="inlineStr">
        <is>
          <t>Praduksha</t>
        </is>
      </c>
      <c r="B52" s="16" t="inlineStr">
        <is>
          <t>MKS00091</t>
        </is>
      </c>
      <c r="C52" s="16" t="n">
        <v>5.1</v>
      </c>
      <c r="D52" s="16" t="inlineStr">
        <is>
          <t>Early Intermediate</t>
        </is>
      </c>
      <c r="E52" s="16" t="inlineStr">
        <is>
          <t>G Early Intermediate2</t>
        </is>
      </c>
      <c r="F52" s="16" t="n"/>
      <c r="G52" s="61" t="n">
        <v>12</v>
      </c>
      <c r="H52" s="61">
        <f>COUNT(J52:BS52)</f>
        <v/>
      </c>
      <c r="I52" s="63">
        <f>G52-H52</f>
        <v/>
      </c>
      <c r="J52" s="61" t="n"/>
      <c r="K52" s="61" t="n"/>
      <c r="L52" s="61" t="n"/>
      <c r="M52" s="61" t="n"/>
      <c r="N52" s="60" t="n">
        <v>0.7916666666666666</v>
      </c>
      <c r="O52" s="61" t="inlineStr">
        <is>
          <t>Dhaanush</t>
        </is>
      </c>
      <c r="P52" s="32" t="n">
        <v>0.4166666666666667</v>
      </c>
      <c r="Q52" s="19" t="inlineStr">
        <is>
          <t>Manikandan</t>
        </is>
      </c>
      <c r="R52" s="61" t="n"/>
      <c r="S52" s="61" t="n"/>
      <c r="T52" s="61" t="n"/>
      <c r="U52" s="61" t="n"/>
      <c r="V52" s="60" t="n">
        <v>0.7916666666666666</v>
      </c>
      <c r="W52" s="61" t="inlineStr">
        <is>
          <t>Dhaanush</t>
        </is>
      </c>
      <c r="X52" s="61" t="n"/>
      <c r="Y52" s="61" t="n"/>
      <c r="Z52" s="61" t="n"/>
      <c r="AA52" s="61" t="n"/>
      <c r="AB52" s="60" t="n">
        <v>0.7916666666666666</v>
      </c>
      <c r="AC52" s="61" t="inlineStr">
        <is>
          <t>Dhaanush</t>
        </is>
      </c>
      <c r="AD52" s="32" t="n">
        <v>0.4166666666666667</v>
      </c>
      <c r="AE52" s="19" t="inlineStr">
        <is>
          <t>Manikandan</t>
        </is>
      </c>
      <c r="AF52" s="61" t="n"/>
      <c r="AG52" s="61" t="n"/>
      <c r="AH52" s="61" t="n"/>
      <c r="AI52" s="61" t="n"/>
      <c r="AJ52" s="60" t="n">
        <v>0.7916666666666666</v>
      </c>
      <c r="AK52" s="61" t="inlineStr">
        <is>
          <t>Dhaanush</t>
        </is>
      </c>
      <c r="AL52" s="61" t="n"/>
      <c r="AM52" s="61" t="n"/>
      <c r="AN52" s="61" t="n"/>
      <c r="AO52" s="61" t="n"/>
      <c r="AP52" s="60" t="n">
        <v>0.7916666666666666</v>
      </c>
      <c r="AQ52" s="61" t="inlineStr">
        <is>
          <t>Dhaanush</t>
        </is>
      </c>
      <c r="AR52" s="32" t="n">
        <v>0.4166666666666667</v>
      </c>
      <c r="AS52" s="19" t="inlineStr">
        <is>
          <t>Manikandan</t>
        </is>
      </c>
      <c r="AT52" s="61" t="n"/>
      <c r="AU52" s="61" t="n"/>
      <c r="AV52" s="61" t="n"/>
      <c r="AW52" s="61" t="n"/>
      <c r="AX52" s="60" t="n">
        <v>0.7916666666666666</v>
      </c>
      <c r="AY52" s="61" t="inlineStr">
        <is>
          <t>Dhaanush</t>
        </is>
      </c>
      <c r="AZ52" s="61" t="n"/>
      <c r="BA52" s="61" t="n"/>
      <c r="BB52" s="61" t="n"/>
      <c r="BC52" s="61" t="n"/>
      <c r="BD52" s="60" t="n">
        <v>0.7916666666666666</v>
      </c>
      <c r="BE52" s="61" t="inlineStr">
        <is>
          <t>Dhaanush</t>
        </is>
      </c>
      <c r="BF52" s="32" t="n">
        <v>0.4166666666666667</v>
      </c>
      <c r="BG52" s="19" t="inlineStr">
        <is>
          <t>Manikandan</t>
        </is>
      </c>
      <c r="BH52" s="61" t="n"/>
      <c r="BI52" s="61" t="n"/>
      <c r="BJ52" s="61" t="n"/>
      <c r="BK52" s="61" t="n"/>
      <c r="BL52" s="61" t="n"/>
      <c r="BM52" s="61" t="n"/>
      <c r="BN52" s="61" t="n"/>
      <c r="BO52" s="61" t="n"/>
      <c r="BP52" s="61" t="n"/>
      <c r="BQ52" s="61" t="n"/>
      <c r="BR52" s="60" t="n">
        <v>0.7916666666666666</v>
      </c>
      <c r="BS52" s="61" t="inlineStr">
        <is>
          <t>Dhaanush</t>
        </is>
      </c>
      <c r="BT52" s="16" t="n"/>
      <c r="BU52" s="61">
        <f>MIN(G52,12)</f>
        <v/>
      </c>
      <c r="BV52" s="61">
        <f>COUNT(J52:W52)</f>
        <v/>
      </c>
      <c r="BW52" s="61">
        <f>COUNT(X52:AK52)</f>
        <v/>
      </c>
      <c r="BX52" s="61">
        <f>COUNT(AL52:AY52)</f>
        <v/>
      </c>
      <c r="BY52" s="61">
        <f>COUNT(AZ52:BS52)</f>
        <v/>
      </c>
      <c r="BZ52" s="61">
        <f>IF(AND(H52=$BU52,BV52&gt;=INT($BU52/4),BV52&lt;=INT($BU52/4)+IF(MOD($BU52,4)&gt;0,1,0),BW52&gt;=INT($BU52/4),BW52&lt;=INT($BU52/4)+IF(MOD($BU52,4)&gt;0,1,0),BX52&gt;=INT($BU52/4),BX52&lt;=INT($BU52/4)+IF(MOD($BU52,4)&gt;0,1,0),BY52&gt;=INT($BU52/4),BY52&lt;=INT($BU52/4)+IF(MOD($BU52,4)&gt;0,1,0)),"OK","CHECK")</f>
        <v/>
      </c>
    </row>
    <row r="53" ht="15" customHeight="1">
      <c r="A53" s="16" t="inlineStr">
        <is>
          <t>Arishmithran</t>
        </is>
      </c>
      <c r="B53" s="16" t="inlineStr">
        <is>
          <t>MKS00072</t>
        </is>
      </c>
      <c r="C53" s="16" t="n">
        <v>5</v>
      </c>
      <c r="D53" s="16" t="inlineStr">
        <is>
          <t>Early Intermediate</t>
        </is>
      </c>
      <c r="E53" s="16" t="inlineStr">
        <is>
          <t>G Early Intermediate2</t>
        </is>
      </c>
      <c r="F53" s="16" t="n"/>
      <c r="G53" s="61" t="n">
        <v>12</v>
      </c>
      <c r="H53" s="61">
        <f>COUNT(J53:BS53)</f>
        <v/>
      </c>
      <c r="I53" s="63">
        <f>G53-H53</f>
        <v/>
      </c>
      <c r="J53" s="61" t="n"/>
      <c r="K53" s="61" t="n"/>
      <c r="L53" s="61" t="n"/>
      <c r="M53" s="61" t="n"/>
      <c r="N53" s="60" t="n">
        <v>0.7916666666666666</v>
      </c>
      <c r="O53" s="61" t="inlineStr">
        <is>
          <t>Dhaanush</t>
        </is>
      </c>
      <c r="P53" s="32" t="n">
        <v>0.4166666666666667</v>
      </c>
      <c r="Q53" s="19" t="inlineStr">
        <is>
          <t>Manikandan</t>
        </is>
      </c>
      <c r="R53" s="61" t="n"/>
      <c r="S53" s="61" t="n"/>
      <c r="T53" s="61" t="n"/>
      <c r="U53" s="61" t="n"/>
      <c r="V53" s="60" t="n">
        <v>0.7916666666666666</v>
      </c>
      <c r="W53" s="61" t="inlineStr">
        <is>
          <t>Dhaanush</t>
        </is>
      </c>
      <c r="X53" s="61" t="n"/>
      <c r="Y53" s="61" t="n"/>
      <c r="Z53" s="61" t="n"/>
      <c r="AA53" s="61" t="n"/>
      <c r="AB53" s="60" t="n">
        <v>0.7916666666666666</v>
      </c>
      <c r="AC53" s="61" t="inlineStr">
        <is>
          <t>Dhaanush</t>
        </is>
      </c>
      <c r="AD53" s="32" t="n">
        <v>0.4166666666666667</v>
      </c>
      <c r="AE53" s="19" t="inlineStr">
        <is>
          <t>Manikandan</t>
        </is>
      </c>
      <c r="AF53" s="61" t="n"/>
      <c r="AG53" s="61" t="n"/>
      <c r="AH53" s="61" t="n"/>
      <c r="AI53" s="61" t="n"/>
      <c r="AJ53" s="60" t="n">
        <v>0.7916666666666666</v>
      </c>
      <c r="AK53" s="61" t="inlineStr">
        <is>
          <t>Dhaanush</t>
        </is>
      </c>
      <c r="AL53" s="61" t="n"/>
      <c r="AM53" s="61" t="n"/>
      <c r="AN53" s="61" t="n"/>
      <c r="AO53" s="61" t="n"/>
      <c r="AP53" s="60" t="n">
        <v>0.7916666666666666</v>
      </c>
      <c r="AQ53" s="61" t="inlineStr">
        <is>
          <t>Dhaanush</t>
        </is>
      </c>
      <c r="AR53" s="32" t="n">
        <v>0.4166666666666667</v>
      </c>
      <c r="AS53" s="19" t="inlineStr">
        <is>
          <t>Manikandan</t>
        </is>
      </c>
      <c r="AT53" s="61" t="n"/>
      <c r="AU53" s="61" t="n"/>
      <c r="AV53" s="61" t="n"/>
      <c r="AW53" s="61" t="n"/>
      <c r="AX53" s="60" t="n">
        <v>0.7916666666666666</v>
      </c>
      <c r="AY53" s="61" t="inlineStr">
        <is>
          <t>Dhaanush</t>
        </is>
      </c>
      <c r="AZ53" s="61" t="n"/>
      <c r="BA53" s="61" t="n"/>
      <c r="BB53" s="61" t="n"/>
      <c r="BC53" s="61" t="n"/>
      <c r="BD53" s="60" t="n">
        <v>0.7916666666666666</v>
      </c>
      <c r="BE53" s="61" t="inlineStr">
        <is>
          <t>Dhaanush</t>
        </is>
      </c>
      <c r="BF53" s="32" t="n">
        <v>0.4166666666666667</v>
      </c>
      <c r="BG53" s="19" t="inlineStr">
        <is>
          <t>Manikandan</t>
        </is>
      </c>
      <c r="BH53" s="61" t="n"/>
      <c r="BI53" s="61" t="n"/>
      <c r="BJ53" s="61" t="n"/>
      <c r="BK53" s="61" t="n"/>
      <c r="BL53" s="61" t="n"/>
      <c r="BM53" s="61" t="n"/>
      <c r="BN53" s="61" t="n"/>
      <c r="BO53" s="61" t="n"/>
      <c r="BP53" s="61" t="n"/>
      <c r="BQ53" s="61" t="n"/>
      <c r="BR53" s="60" t="n">
        <v>0.7916666666666666</v>
      </c>
      <c r="BS53" s="61" t="inlineStr">
        <is>
          <t>Dhaanush</t>
        </is>
      </c>
      <c r="BT53" s="16" t="n"/>
      <c r="BU53" s="61">
        <f>MIN(G53,12)</f>
        <v/>
      </c>
      <c r="BV53" s="61">
        <f>COUNT(J53:W53)</f>
        <v/>
      </c>
      <c r="BW53" s="61">
        <f>COUNT(X53:AK53)</f>
        <v/>
      </c>
      <c r="BX53" s="61">
        <f>COUNT(AL53:AY53)</f>
        <v/>
      </c>
      <c r="BY53" s="61">
        <f>COUNT(AZ53:BS53)</f>
        <v/>
      </c>
      <c r="BZ53" s="61">
        <f>IF(AND(H53=$BU53,BV53&gt;=INT($BU53/4),BV53&lt;=INT($BU53/4)+IF(MOD($BU53,4)&gt;0,1,0),BW53&gt;=INT($BU53/4),BW53&lt;=INT($BU53/4)+IF(MOD($BU53,4)&gt;0,1,0),BX53&gt;=INT($BU53/4),BX53&lt;=INT($BU53/4)+IF(MOD($BU53,4)&gt;0,1,0),BY53&gt;=INT($BU53/4),BY53&lt;=INT($BU53/4)+IF(MOD($BU53,4)&gt;0,1,0)),"OK","CHECK")</f>
        <v/>
      </c>
    </row>
    <row r="54" ht="15" customHeight="1">
      <c r="A54" s="16" t="inlineStr">
        <is>
          <t>Sanjumithra</t>
        </is>
      </c>
      <c r="B54" s="16" t="inlineStr">
        <is>
          <t>MKS00070</t>
        </is>
      </c>
      <c r="C54" s="16" t="n">
        <v>5.2</v>
      </c>
      <c r="D54" s="16" t="inlineStr">
        <is>
          <t>Early Intermediate</t>
        </is>
      </c>
      <c r="E54" s="16" t="inlineStr">
        <is>
          <t>G Early Intermediate2</t>
        </is>
      </c>
      <c r="F54" s="16" t="n"/>
      <c r="G54" s="61" t="n">
        <v>12</v>
      </c>
      <c r="H54" s="61">
        <f>COUNT(J54:BS54)</f>
        <v/>
      </c>
      <c r="I54" s="63">
        <f>G54-H54</f>
        <v/>
      </c>
      <c r="J54" s="61" t="n"/>
      <c r="K54" s="61" t="n"/>
      <c r="L54" s="61" t="n"/>
      <c r="M54" s="61" t="n"/>
      <c r="N54" s="60" t="n">
        <v>0.7916666666666666</v>
      </c>
      <c r="O54" s="61" t="inlineStr">
        <is>
          <t>Dhaanush</t>
        </is>
      </c>
      <c r="P54" s="32" t="n">
        <v>0.4166666666666667</v>
      </c>
      <c r="Q54" s="19" t="inlineStr">
        <is>
          <t>Manikandan</t>
        </is>
      </c>
      <c r="R54" s="61" t="n"/>
      <c r="S54" s="61" t="n"/>
      <c r="T54" s="61" t="n"/>
      <c r="U54" s="61" t="n"/>
      <c r="V54" s="60" t="n">
        <v>0.7916666666666666</v>
      </c>
      <c r="W54" s="61" t="inlineStr">
        <is>
          <t>Dhaanush</t>
        </is>
      </c>
      <c r="X54" s="61" t="n"/>
      <c r="Y54" s="61" t="n"/>
      <c r="Z54" s="61" t="n"/>
      <c r="AA54" s="61" t="n"/>
      <c r="AB54" s="60" t="n">
        <v>0.7916666666666666</v>
      </c>
      <c r="AC54" s="61" t="inlineStr">
        <is>
          <t>Dhaanush</t>
        </is>
      </c>
      <c r="AD54" s="32" t="n">
        <v>0.4166666666666667</v>
      </c>
      <c r="AE54" s="19" t="inlineStr">
        <is>
          <t>Manikandan</t>
        </is>
      </c>
      <c r="AF54" s="61" t="n"/>
      <c r="AG54" s="61" t="n"/>
      <c r="AH54" s="61" t="n"/>
      <c r="AI54" s="61" t="n"/>
      <c r="AJ54" s="60" t="n">
        <v>0.7916666666666666</v>
      </c>
      <c r="AK54" s="61" t="inlineStr">
        <is>
          <t>Dhaanush</t>
        </is>
      </c>
      <c r="AL54" s="61" t="n"/>
      <c r="AM54" s="61" t="n"/>
      <c r="AN54" s="61" t="n"/>
      <c r="AO54" s="61" t="n"/>
      <c r="AP54" s="60" t="n">
        <v>0.7916666666666666</v>
      </c>
      <c r="AQ54" s="61" t="inlineStr">
        <is>
          <t>Dhaanush</t>
        </is>
      </c>
      <c r="AR54" s="32" t="n">
        <v>0.4166666666666667</v>
      </c>
      <c r="AS54" s="19" t="inlineStr">
        <is>
          <t>Manikandan</t>
        </is>
      </c>
      <c r="AT54" s="61" t="n"/>
      <c r="AU54" s="61" t="n"/>
      <c r="AV54" s="61" t="n"/>
      <c r="AW54" s="61" t="n"/>
      <c r="AX54" s="60" t="n">
        <v>0.7916666666666666</v>
      </c>
      <c r="AY54" s="61" t="inlineStr">
        <is>
          <t>Dhaanush</t>
        </is>
      </c>
      <c r="AZ54" s="61" t="n"/>
      <c r="BA54" s="61" t="n"/>
      <c r="BB54" s="61" t="n"/>
      <c r="BC54" s="61" t="n"/>
      <c r="BD54" s="60" t="n">
        <v>0.7916666666666666</v>
      </c>
      <c r="BE54" s="61" t="inlineStr">
        <is>
          <t>Dhaanush</t>
        </is>
      </c>
      <c r="BF54" s="32" t="n">
        <v>0.4166666666666667</v>
      </c>
      <c r="BG54" s="19" t="inlineStr">
        <is>
          <t>Manikandan</t>
        </is>
      </c>
      <c r="BH54" s="61" t="n"/>
      <c r="BI54" s="61" t="n"/>
      <c r="BJ54" s="61" t="n"/>
      <c r="BK54" s="61" t="n"/>
      <c r="BL54" s="61" t="n"/>
      <c r="BM54" s="61" t="n"/>
      <c r="BN54" s="61" t="n"/>
      <c r="BO54" s="61" t="n"/>
      <c r="BP54" s="61" t="n"/>
      <c r="BQ54" s="61" t="n"/>
      <c r="BR54" s="60" t="n">
        <v>0.7916666666666666</v>
      </c>
      <c r="BS54" s="61" t="inlineStr">
        <is>
          <t>Dhaanush</t>
        </is>
      </c>
      <c r="BT54" s="16" t="n"/>
      <c r="BU54" s="61">
        <f>MIN(G54,12)</f>
        <v/>
      </c>
      <c r="BV54" s="61">
        <f>COUNT(J54:W54)</f>
        <v/>
      </c>
      <c r="BW54" s="61">
        <f>COUNT(X54:AK54)</f>
        <v/>
      </c>
      <c r="BX54" s="61">
        <f>COUNT(AL54:AY54)</f>
        <v/>
      </c>
      <c r="BY54" s="61">
        <f>COUNT(AZ54:BS54)</f>
        <v/>
      </c>
      <c r="BZ54" s="61">
        <f>IF(AND(H54=$BU54,BV54&gt;=INT($BU54/4),BV54&lt;=INT($BU54/4)+IF(MOD($BU54,4)&gt;0,1,0),BW54&gt;=INT($BU54/4),BW54&lt;=INT($BU54/4)+IF(MOD($BU54,4)&gt;0,1,0),BX54&gt;=INT($BU54/4),BX54&lt;=INT($BU54/4)+IF(MOD($BU54,4)&gt;0,1,0),BY54&gt;=INT($BU54/4),BY54&lt;=INT($BU54/4)+IF(MOD($BU54,4)&gt;0,1,0)),"OK","CHECK")</f>
        <v/>
      </c>
    </row>
    <row r="55" ht="15" customHeight="1">
      <c r="A55" s="16" t="inlineStr">
        <is>
          <t>Shakthivishakan A</t>
        </is>
      </c>
      <c r="B55" s="16" t="inlineStr">
        <is>
          <t>MKS00034</t>
        </is>
      </c>
      <c r="C55" s="16" t="n">
        <v>5.2</v>
      </c>
      <c r="D55" s="16" t="inlineStr">
        <is>
          <t>Early Intermediate</t>
        </is>
      </c>
      <c r="E55" s="16" t="inlineStr">
        <is>
          <t>G Early Intermediate2</t>
        </is>
      </c>
      <c r="F55" s="16" t="n"/>
      <c r="G55" s="61" t="n">
        <v>12</v>
      </c>
      <c r="H55" s="61">
        <f>COUNT(J55:BS55)</f>
        <v/>
      </c>
      <c r="I55" s="63">
        <f>G55-H55</f>
        <v/>
      </c>
      <c r="J55" s="61" t="n"/>
      <c r="K55" s="61" t="n"/>
      <c r="L55" s="61" t="n"/>
      <c r="M55" s="61" t="n"/>
      <c r="N55" s="60" t="n">
        <v>0.7916666666666666</v>
      </c>
      <c r="O55" s="61" t="inlineStr">
        <is>
          <t>Dhaanush</t>
        </is>
      </c>
      <c r="P55" s="32" t="n">
        <v>0.4166666666666667</v>
      </c>
      <c r="Q55" s="19" t="inlineStr">
        <is>
          <t>Manikandan</t>
        </is>
      </c>
      <c r="R55" s="61" t="n"/>
      <c r="S55" s="61" t="n"/>
      <c r="T55" s="61" t="n"/>
      <c r="U55" s="61" t="n"/>
      <c r="V55" s="60" t="n">
        <v>0.7916666666666666</v>
      </c>
      <c r="W55" s="61" t="inlineStr">
        <is>
          <t>Dhaanush</t>
        </is>
      </c>
      <c r="X55" s="61" t="n"/>
      <c r="Y55" s="61" t="n"/>
      <c r="Z55" s="61" t="n"/>
      <c r="AA55" s="61" t="n"/>
      <c r="AB55" s="60" t="n">
        <v>0.7916666666666666</v>
      </c>
      <c r="AC55" s="61" t="inlineStr">
        <is>
          <t>Dhaanush</t>
        </is>
      </c>
      <c r="AD55" s="32" t="n">
        <v>0.4166666666666667</v>
      </c>
      <c r="AE55" s="19" t="inlineStr">
        <is>
          <t>Manikandan</t>
        </is>
      </c>
      <c r="AF55" s="61" t="n"/>
      <c r="AG55" s="61" t="n"/>
      <c r="AH55" s="61" t="n"/>
      <c r="AI55" s="61" t="n"/>
      <c r="AJ55" s="60" t="n">
        <v>0.7916666666666666</v>
      </c>
      <c r="AK55" s="61" t="inlineStr">
        <is>
          <t>Dhaanush</t>
        </is>
      </c>
      <c r="AL55" s="61" t="n"/>
      <c r="AM55" s="61" t="n"/>
      <c r="AN55" s="61" t="n"/>
      <c r="AO55" s="61" t="n"/>
      <c r="AP55" s="60" t="n">
        <v>0.7916666666666666</v>
      </c>
      <c r="AQ55" s="61" t="inlineStr">
        <is>
          <t>Dhaanush</t>
        </is>
      </c>
      <c r="AR55" s="32" t="n">
        <v>0.4166666666666667</v>
      </c>
      <c r="AS55" s="19" t="inlineStr">
        <is>
          <t>Manikandan</t>
        </is>
      </c>
      <c r="AT55" s="61" t="n"/>
      <c r="AU55" s="61" t="n"/>
      <c r="AV55" s="61" t="n"/>
      <c r="AW55" s="61" t="n"/>
      <c r="AX55" s="60" t="n">
        <v>0.7916666666666666</v>
      </c>
      <c r="AY55" s="61" t="inlineStr">
        <is>
          <t>Dhaanush</t>
        </is>
      </c>
      <c r="AZ55" s="61" t="n"/>
      <c r="BA55" s="61" t="n"/>
      <c r="BB55" s="61" t="n"/>
      <c r="BC55" s="61" t="n"/>
      <c r="BD55" s="60" t="n">
        <v>0.7916666666666666</v>
      </c>
      <c r="BE55" s="61" t="inlineStr">
        <is>
          <t>Dhaanush</t>
        </is>
      </c>
      <c r="BF55" s="32" t="n">
        <v>0.4166666666666667</v>
      </c>
      <c r="BG55" s="19" t="inlineStr">
        <is>
          <t>Manikandan</t>
        </is>
      </c>
      <c r="BH55" s="61" t="n"/>
      <c r="BI55" s="61" t="n"/>
      <c r="BJ55" s="61" t="n"/>
      <c r="BK55" s="61" t="n"/>
      <c r="BL55" s="61" t="n"/>
      <c r="BM55" s="61" t="n"/>
      <c r="BN55" s="61" t="n"/>
      <c r="BO55" s="61" t="n"/>
      <c r="BP55" s="61" t="n"/>
      <c r="BQ55" s="61" t="n"/>
      <c r="BR55" s="60" t="n">
        <v>0.7916666666666666</v>
      </c>
      <c r="BS55" s="61" t="inlineStr">
        <is>
          <t>Dhaanush</t>
        </is>
      </c>
      <c r="BT55" s="16" t="n"/>
      <c r="BU55" s="61">
        <f>MIN(G55,12)</f>
        <v/>
      </c>
      <c r="BV55" s="61">
        <f>COUNT(J55:W55)</f>
        <v/>
      </c>
      <c r="BW55" s="61">
        <f>COUNT(X55:AK55)</f>
        <v/>
      </c>
      <c r="BX55" s="61">
        <f>COUNT(AL55:AY55)</f>
        <v/>
      </c>
      <c r="BY55" s="61">
        <f>COUNT(AZ55:BS55)</f>
        <v/>
      </c>
      <c r="BZ55" s="61">
        <f>IF(AND(H55=$BU55,BV55&gt;=INT($BU55/4),BV55&lt;=INT($BU55/4)+IF(MOD($BU55,4)&gt;0,1,0),BW55&gt;=INT($BU55/4),BW55&lt;=INT($BU55/4)+IF(MOD($BU55,4)&gt;0,1,0),BX55&gt;=INT($BU55/4),BX55&lt;=INT($BU55/4)+IF(MOD($BU55,4)&gt;0,1,0),BY55&gt;=INT($BU55/4),BY55&lt;=INT($BU55/4)+IF(MOD($BU55,4)&gt;0,1,0)),"OK","CHECK")</f>
        <v/>
      </c>
    </row>
    <row r="56" ht="15" customHeight="1">
      <c r="A56" s="16" t="inlineStr">
        <is>
          <t>S R Sabeshwar</t>
        </is>
      </c>
      <c r="B56" s="16" t="inlineStr">
        <is>
          <t>MKS00223</t>
        </is>
      </c>
      <c r="C56" s="16" t="n">
        <v>4.5</v>
      </c>
      <c r="D56" s="16" t="inlineStr">
        <is>
          <t>Early Intermediate</t>
        </is>
      </c>
      <c r="E56" s="16" t="inlineStr">
        <is>
          <t>G Early Intermediate1</t>
        </is>
      </c>
      <c r="F56" s="16" t="n"/>
      <c r="G56" s="61" t="n">
        <v>12</v>
      </c>
      <c r="H56" s="61">
        <f>COUNT(J56:BS56)</f>
        <v/>
      </c>
      <c r="I56" s="63">
        <f>G56-H56</f>
        <v/>
      </c>
      <c r="J56" s="61" t="n"/>
      <c r="K56" s="61" t="n"/>
      <c r="L56" s="61" t="n"/>
      <c r="M56" s="61" t="n"/>
      <c r="N56" s="60" t="n">
        <v>0.7916666666666666</v>
      </c>
      <c r="O56" s="61" t="inlineStr">
        <is>
          <t>Dhaanush</t>
        </is>
      </c>
      <c r="P56" s="32" t="n">
        <v>0.4166666666666667</v>
      </c>
      <c r="Q56" s="19" t="inlineStr">
        <is>
          <t>Abinaya</t>
        </is>
      </c>
      <c r="R56" s="61" t="n"/>
      <c r="S56" s="61" t="n"/>
      <c r="T56" s="61" t="n"/>
      <c r="U56" s="61" t="n"/>
      <c r="V56" s="60" t="n">
        <v>0.7916666666666666</v>
      </c>
      <c r="W56" s="61" t="inlineStr">
        <is>
          <t>Dhaanush</t>
        </is>
      </c>
      <c r="X56" s="61" t="n"/>
      <c r="Y56" s="61" t="n"/>
      <c r="Z56" s="61" t="n"/>
      <c r="AA56" s="61" t="n"/>
      <c r="AB56" s="60" t="n">
        <v>0.7916666666666666</v>
      </c>
      <c r="AC56" s="61" t="inlineStr">
        <is>
          <t>Dhaanush</t>
        </is>
      </c>
      <c r="AD56" s="32" t="n">
        <v>0.4166666666666667</v>
      </c>
      <c r="AE56" s="19" t="inlineStr">
        <is>
          <t>Abinaya</t>
        </is>
      </c>
      <c r="AF56" s="61" t="n"/>
      <c r="AG56" s="61" t="n"/>
      <c r="AH56" s="61" t="n"/>
      <c r="AI56" s="61" t="n"/>
      <c r="AJ56" s="60" t="n">
        <v>0.7916666666666666</v>
      </c>
      <c r="AK56" s="61" t="inlineStr">
        <is>
          <t>Dhaanush</t>
        </is>
      </c>
      <c r="AL56" s="61" t="n"/>
      <c r="AM56" s="61" t="n"/>
      <c r="AN56" s="61" t="n"/>
      <c r="AO56" s="61" t="n"/>
      <c r="AP56" s="60" t="n">
        <v>0.7916666666666666</v>
      </c>
      <c r="AQ56" s="61" t="inlineStr">
        <is>
          <t>Dhaanush</t>
        </is>
      </c>
      <c r="AR56" s="32" t="n">
        <v>0.4166666666666667</v>
      </c>
      <c r="AS56" s="19" t="inlineStr">
        <is>
          <t>Abinaya</t>
        </is>
      </c>
      <c r="AT56" s="61" t="n"/>
      <c r="AU56" s="61" t="n"/>
      <c r="AV56" s="61" t="n"/>
      <c r="AW56" s="61" t="n"/>
      <c r="AX56" s="60" t="n">
        <v>0.7916666666666666</v>
      </c>
      <c r="AY56" s="61" t="inlineStr">
        <is>
          <t>Dhaanush</t>
        </is>
      </c>
      <c r="AZ56" s="61" t="n"/>
      <c r="BA56" s="61" t="n"/>
      <c r="BB56" s="61" t="n"/>
      <c r="BC56" s="61" t="n"/>
      <c r="BD56" s="60" t="n">
        <v>0.7916666666666666</v>
      </c>
      <c r="BE56" s="61" t="inlineStr">
        <is>
          <t>Dhaanush</t>
        </is>
      </c>
      <c r="BF56" s="32" t="n">
        <v>0.4166666666666667</v>
      </c>
      <c r="BG56" s="19" t="inlineStr">
        <is>
          <t>Abinaya</t>
        </is>
      </c>
      <c r="BH56" s="61" t="n"/>
      <c r="BI56" s="61" t="n"/>
      <c r="BJ56" s="61" t="n"/>
      <c r="BK56" s="61" t="n"/>
      <c r="BL56" s="61" t="n"/>
      <c r="BM56" s="61" t="n"/>
      <c r="BN56" s="61" t="n"/>
      <c r="BO56" s="61" t="n"/>
      <c r="BP56" s="61" t="n"/>
      <c r="BQ56" s="61" t="n"/>
      <c r="BR56" s="60" t="n">
        <v>0.7916666666666666</v>
      </c>
      <c r="BS56" s="61" t="inlineStr">
        <is>
          <t>Dhaanush</t>
        </is>
      </c>
      <c r="BT56" s="16" t="n"/>
      <c r="BU56" s="61">
        <f>MIN(G56,12)</f>
        <v/>
      </c>
      <c r="BV56" s="61">
        <f>COUNT(J56:W56)</f>
        <v/>
      </c>
      <c r="BW56" s="61">
        <f>COUNT(X56:AK56)</f>
        <v/>
      </c>
      <c r="BX56" s="61">
        <f>COUNT(AL56:AY56)</f>
        <v/>
      </c>
      <c r="BY56" s="61">
        <f>COUNT(AZ56:BS56)</f>
        <v/>
      </c>
      <c r="BZ56" s="61">
        <f>IF(AND(H56=$BU56,BV56&gt;=INT($BU56/4),BV56&lt;=INT($BU56/4)+IF(MOD($BU56,4)&gt;0,1,0),BW56&gt;=INT($BU56/4),BW56&lt;=INT($BU56/4)+IF(MOD($BU56,4)&gt;0,1,0),BX56&gt;=INT($BU56/4),BX56&lt;=INT($BU56/4)+IF(MOD($BU56,4)&gt;0,1,0),BY56&gt;=INT($BU56/4),BY56&lt;=INT($BU56/4)+IF(MOD($BU56,4)&gt;0,1,0)),"OK","CHECK")</f>
        <v/>
      </c>
    </row>
    <row r="57" ht="15" customHeight="1">
      <c r="A57" s="16" t="inlineStr">
        <is>
          <t>M.Nishik</t>
        </is>
      </c>
      <c r="B57" s="16" t="inlineStr">
        <is>
          <t>MKS00113</t>
        </is>
      </c>
      <c r="C57" s="16" t="n">
        <v>6.5</v>
      </c>
      <c r="D57" s="16" t="inlineStr">
        <is>
          <t>Intermediate</t>
        </is>
      </c>
      <c r="E57" s="16" t="inlineStr">
        <is>
          <t>G Intermediate1</t>
        </is>
      </c>
      <c r="F57" s="16" t="n"/>
      <c r="G57" s="61" t="n">
        <v>12</v>
      </c>
      <c r="H57" s="61">
        <f>COUNT(J57:BS57)</f>
        <v/>
      </c>
      <c r="I57" s="63">
        <f>G57-H57</f>
        <v/>
      </c>
      <c r="J57" s="61" t="n"/>
      <c r="K57" s="61" t="n"/>
      <c r="L57" s="61" t="n"/>
      <c r="M57" s="61" t="n"/>
      <c r="N57" s="60" t="n">
        <v>0.7916666666666666</v>
      </c>
      <c r="O57" s="61" t="inlineStr">
        <is>
          <t>Saravanan</t>
        </is>
      </c>
      <c r="P57" s="32" t="n">
        <v>0.4166666666666667</v>
      </c>
      <c r="Q57" s="19" t="inlineStr">
        <is>
          <t>Dhaanush</t>
        </is>
      </c>
      <c r="R57" s="61" t="n"/>
      <c r="S57" s="61" t="n"/>
      <c r="T57" s="61" t="n"/>
      <c r="U57" s="61" t="n"/>
      <c r="V57" s="60" t="n">
        <v>0.7916666666666666</v>
      </c>
      <c r="W57" s="61" t="inlineStr">
        <is>
          <t>Saravanan</t>
        </is>
      </c>
      <c r="X57" s="61" t="n"/>
      <c r="Y57" s="61" t="n"/>
      <c r="Z57" s="61" t="n"/>
      <c r="AA57" s="61" t="n"/>
      <c r="AB57" s="60" t="n">
        <v>0.7916666666666666</v>
      </c>
      <c r="AC57" s="61" t="inlineStr">
        <is>
          <t>Saravanan</t>
        </is>
      </c>
      <c r="AD57" s="32" t="n">
        <v>0.4166666666666667</v>
      </c>
      <c r="AE57" s="19" t="inlineStr">
        <is>
          <t>Dhaanush</t>
        </is>
      </c>
      <c r="AF57" s="61" t="n"/>
      <c r="AG57" s="61" t="n"/>
      <c r="AH57" s="61" t="n"/>
      <c r="AI57" s="61" t="n"/>
      <c r="AJ57" s="60" t="n">
        <v>0.7916666666666666</v>
      </c>
      <c r="AK57" s="61" t="inlineStr">
        <is>
          <t>Saravanan</t>
        </is>
      </c>
      <c r="AL57" s="61" t="n"/>
      <c r="AM57" s="61" t="n"/>
      <c r="AN57" s="61" t="n"/>
      <c r="AO57" s="61" t="n"/>
      <c r="AP57" s="60" t="n">
        <v>0.7916666666666666</v>
      </c>
      <c r="AQ57" s="61" t="inlineStr">
        <is>
          <t>Saravanan</t>
        </is>
      </c>
      <c r="AR57" s="32" t="n">
        <v>0.4166666666666667</v>
      </c>
      <c r="AS57" s="19" t="inlineStr">
        <is>
          <t>Dhaanush</t>
        </is>
      </c>
      <c r="AT57" s="61" t="n"/>
      <c r="AU57" s="61" t="n"/>
      <c r="AV57" s="61" t="n"/>
      <c r="AW57" s="61" t="n"/>
      <c r="AX57" s="60" t="n">
        <v>0.7916666666666666</v>
      </c>
      <c r="AY57" s="61" t="inlineStr">
        <is>
          <t>Saravanan</t>
        </is>
      </c>
      <c r="AZ57" s="61" t="n"/>
      <c r="BA57" s="61" t="n"/>
      <c r="BB57" s="61" t="n"/>
      <c r="BC57" s="61" t="n"/>
      <c r="BD57" s="60" t="n">
        <v>0.7916666666666666</v>
      </c>
      <c r="BE57" s="61" t="inlineStr">
        <is>
          <t>Saravanan</t>
        </is>
      </c>
      <c r="BF57" s="32" t="n">
        <v>0.4166666666666667</v>
      </c>
      <c r="BG57" s="19" t="inlineStr">
        <is>
          <t>Dhaanush</t>
        </is>
      </c>
      <c r="BH57" s="61" t="n"/>
      <c r="BI57" s="61" t="n"/>
      <c r="BJ57" s="61" t="n"/>
      <c r="BK57" s="61" t="n"/>
      <c r="BL57" s="60" t="n">
        <v>0.7916666666666666</v>
      </c>
      <c r="BM57" s="61" t="inlineStr">
        <is>
          <t>Saravanan</t>
        </is>
      </c>
      <c r="BN57" s="61" t="n"/>
      <c r="BO57" s="61" t="n"/>
      <c r="BP57" s="61" t="n"/>
      <c r="BQ57" s="61" t="n"/>
      <c r="BR57" s="61" t="n"/>
      <c r="BS57" s="61" t="n"/>
      <c r="BT57" s="16" t="n"/>
      <c r="BU57" s="61">
        <f>MIN(G57,12)</f>
        <v/>
      </c>
      <c r="BV57" s="61">
        <f>COUNT(J57:W57)</f>
        <v/>
      </c>
      <c r="BW57" s="61">
        <f>COUNT(X57:AK57)</f>
        <v/>
      </c>
      <c r="BX57" s="61">
        <f>COUNT(AL57:AY57)</f>
        <v/>
      </c>
      <c r="BY57" s="61">
        <f>COUNT(AZ57:BS57)</f>
        <v/>
      </c>
      <c r="BZ57" s="61">
        <f>IF(AND(H57=$BU57,BV57&gt;=INT($BU57/4),BV57&lt;=INT($BU57/4)+IF(MOD($BU57,4)&gt;0,1,0),BW57&gt;=INT($BU57/4),BW57&lt;=INT($BU57/4)+IF(MOD($BU57,4)&gt;0,1,0),BX57&gt;=INT($BU57/4),BX57&lt;=INT($BU57/4)+IF(MOD($BU57,4)&gt;0,1,0),BY57&gt;=INT($BU57/4),BY57&lt;=INT($BU57/4)+IF(MOD($BU57,4)&gt;0,1,0)),"OK","CHECK")</f>
        <v/>
      </c>
    </row>
    <row r="58" ht="15" customHeight="1">
      <c r="A58" s="16" t="inlineStr">
        <is>
          <t>Vedhanth V</t>
        </is>
      </c>
      <c r="B58" s="16" t="inlineStr">
        <is>
          <t>MKS00102</t>
        </is>
      </c>
      <c r="C58" s="16" t="n">
        <v>6.1</v>
      </c>
      <c r="D58" s="16" t="inlineStr">
        <is>
          <t>Intermediate</t>
        </is>
      </c>
      <c r="E58" s="16" t="inlineStr">
        <is>
          <t>G Intermediate1</t>
        </is>
      </c>
      <c r="F58" s="16" t="n"/>
      <c r="G58" s="61" t="n">
        <v>12</v>
      </c>
      <c r="H58" s="61">
        <f>COUNT(J58:BS58)</f>
        <v/>
      </c>
      <c r="I58" s="63">
        <f>G58-H58</f>
        <v/>
      </c>
      <c r="J58" s="61" t="n"/>
      <c r="K58" s="61" t="n"/>
      <c r="L58" s="61" t="n"/>
      <c r="M58" s="61" t="n"/>
      <c r="N58" s="60" t="n">
        <v>0.7916666666666666</v>
      </c>
      <c r="O58" s="61" t="inlineStr">
        <is>
          <t>Saravanan</t>
        </is>
      </c>
      <c r="P58" s="32" t="n">
        <v>0.4166666666666667</v>
      </c>
      <c r="Q58" s="19" t="inlineStr">
        <is>
          <t>Dhaanush</t>
        </is>
      </c>
      <c r="R58" s="61" t="n"/>
      <c r="S58" s="61" t="n"/>
      <c r="T58" s="61" t="n"/>
      <c r="U58" s="61" t="n"/>
      <c r="V58" s="60" t="n">
        <v>0.7916666666666666</v>
      </c>
      <c r="W58" s="61" t="inlineStr">
        <is>
          <t>Saravanan</t>
        </is>
      </c>
      <c r="X58" s="61" t="n"/>
      <c r="Y58" s="61" t="n"/>
      <c r="Z58" s="61" t="n"/>
      <c r="AA58" s="61" t="n"/>
      <c r="AB58" s="60" t="n">
        <v>0.7916666666666666</v>
      </c>
      <c r="AC58" s="61" t="inlineStr">
        <is>
          <t>Saravanan</t>
        </is>
      </c>
      <c r="AD58" s="32" t="n">
        <v>0.4166666666666667</v>
      </c>
      <c r="AE58" s="19" t="inlineStr">
        <is>
          <t>Dhaanush</t>
        </is>
      </c>
      <c r="AF58" s="61" t="n"/>
      <c r="AG58" s="61" t="n"/>
      <c r="AH58" s="61" t="n"/>
      <c r="AI58" s="61" t="n"/>
      <c r="AJ58" s="60" t="n">
        <v>0.7916666666666666</v>
      </c>
      <c r="AK58" s="61" t="inlineStr">
        <is>
          <t>Saravanan</t>
        </is>
      </c>
      <c r="AL58" s="61" t="n"/>
      <c r="AM58" s="61" t="n"/>
      <c r="AN58" s="61" t="n"/>
      <c r="AO58" s="61" t="n"/>
      <c r="AP58" s="60" t="n">
        <v>0.7916666666666666</v>
      </c>
      <c r="AQ58" s="61" t="inlineStr">
        <is>
          <t>Saravanan</t>
        </is>
      </c>
      <c r="AR58" s="32" t="n">
        <v>0.4166666666666667</v>
      </c>
      <c r="AS58" s="19" t="inlineStr">
        <is>
          <t>Dhaanush</t>
        </is>
      </c>
      <c r="AT58" s="61" t="n"/>
      <c r="AU58" s="61" t="n"/>
      <c r="AV58" s="61" t="n"/>
      <c r="AW58" s="61" t="n"/>
      <c r="AX58" s="60" t="n">
        <v>0.7916666666666666</v>
      </c>
      <c r="AY58" s="61" t="inlineStr">
        <is>
          <t>Saravanan</t>
        </is>
      </c>
      <c r="AZ58" s="61" t="n"/>
      <c r="BA58" s="61" t="n"/>
      <c r="BB58" s="61" t="n"/>
      <c r="BC58" s="61" t="n"/>
      <c r="BD58" s="60" t="n">
        <v>0.7916666666666666</v>
      </c>
      <c r="BE58" s="61" t="inlineStr">
        <is>
          <t>Saravanan</t>
        </is>
      </c>
      <c r="BF58" s="32" t="n">
        <v>0.4166666666666667</v>
      </c>
      <c r="BG58" s="19" t="inlineStr">
        <is>
          <t>Dhaanush</t>
        </is>
      </c>
      <c r="BH58" s="61" t="n"/>
      <c r="BI58" s="61" t="n"/>
      <c r="BJ58" s="61" t="n"/>
      <c r="BK58" s="61" t="n"/>
      <c r="BL58" s="60" t="n">
        <v>0.7916666666666666</v>
      </c>
      <c r="BM58" s="61" t="inlineStr">
        <is>
          <t>Saravanan</t>
        </is>
      </c>
      <c r="BN58" s="61" t="n"/>
      <c r="BO58" s="61" t="n"/>
      <c r="BP58" s="61" t="n"/>
      <c r="BQ58" s="61" t="n"/>
      <c r="BR58" s="61" t="n"/>
      <c r="BS58" s="61" t="n"/>
      <c r="BT58" s="16" t="n"/>
      <c r="BU58" s="61">
        <f>MIN(G58,12)</f>
        <v/>
      </c>
      <c r="BV58" s="61">
        <f>COUNT(J58:W58)</f>
        <v/>
      </c>
      <c r="BW58" s="61">
        <f>COUNT(X58:AK58)</f>
        <v/>
      </c>
      <c r="BX58" s="61">
        <f>COUNT(AL58:AY58)</f>
        <v/>
      </c>
      <c r="BY58" s="61">
        <f>COUNT(AZ58:BS58)</f>
        <v/>
      </c>
      <c r="BZ58" s="61">
        <f>IF(AND(H58=$BU58,BV58&gt;=INT($BU58/4),BV58&lt;=INT($BU58/4)+IF(MOD($BU58,4)&gt;0,1,0),BW58&gt;=INT($BU58/4),BW58&lt;=INT($BU58/4)+IF(MOD($BU58,4)&gt;0,1,0),BX58&gt;=INT($BU58/4),BX58&lt;=INT($BU58/4)+IF(MOD($BU58,4)&gt;0,1,0),BY58&gt;=INT($BU58/4),BY58&lt;=INT($BU58/4)+IF(MOD($BU58,4)&gt;0,1,0)),"OK","CHECK")</f>
        <v/>
      </c>
    </row>
    <row r="59" ht="15" customHeight="1">
      <c r="A59" s="33" t="inlineStr">
        <is>
          <t>J Jerwin</t>
        </is>
      </c>
      <c r="B59" s="16" t="inlineStr">
        <is>
          <t>MKS00230</t>
        </is>
      </c>
      <c r="C59" s="16" t="n">
        <v>1.8</v>
      </c>
      <c r="D59" s="16" t="inlineStr">
        <is>
          <t>Basic</t>
        </is>
      </c>
      <c r="E59" s="16" t="inlineStr">
        <is>
          <t>G Basic2</t>
        </is>
      </c>
      <c r="F59" s="16" t="inlineStr">
        <is>
          <t>Jerwin cant be matched with Aaradheya (Basic1)</t>
        </is>
      </c>
      <c r="G59" s="61" t="n">
        <v>12</v>
      </c>
      <c r="H59" s="61">
        <f>COUNT(J59:BS59)</f>
        <v/>
      </c>
      <c r="I59" s="63">
        <f>G59-H59</f>
        <v/>
      </c>
      <c r="J59" s="22" t="n">
        <v>0.8333333333333334</v>
      </c>
      <c r="K59" s="23" t="inlineStr">
        <is>
          <t>Abinaya</t>
        </is>
      </c>
      <c r="L59" s="60" t="n"/>
      <c r="M59" s="61" t="n"/>
      <c r="N59" s="60" t="n">
        <v>0.7916666666666666</v>
      </c>
      <c r="O59" s="61" t="inlineStr">
        <is>
          <t>Abinaya</t>
        </is>
      </c>
      <c r="P59" s="19" t="n"/>
      <c r="Q59" s="19" t="n"/>
      <c r="R59" s="61" t="n"/>
      <c r="S59" s="61" t="n"/>
      <c r="T59" s="61" t="n"/>
      <c r="U59" s="61" t="n"/>
      <c r="V59" s="83" t="n">
        <v>0.8333333333333334</v>
      </c>
      <c r="W59" s="84" t="inlineStr">
        <is>
          <t>Abinaya</t>
        </is>
      </c>
      <c r="X59" s="61" t="n"/>
      <c r="Y59" s="61" t="n"/>
      <c r="Z59" s="83" t="n">
        <v>0.8333333333333334</v>
      </c>
      <c r="AA59" s="84" t="inlineStr">
        <is>
          <t>Manikandan</t>
        </is>
      </c>
      <c r="AB59" s="60" t="n">
        <v>0.7916666666666666</v>
      </c>
      <c r="AC59" s="61" t="inlineStr">
        <is>
          <t>Abinaya</t>
        </is>
      </c>
      <c r="AD59" s="19" t="n"/>
      <c r="AE59" s="19" t="n"/>
      <c r="AF59" s="83" t="n">
        <v>0.8333333333333334</v>
      </c>
      <c r="AG59" s="84" t="inlineStr">
        <is>
          <t>Abinaya</t>
        </is>
      </c>
      <c r="AH59" s="61" t="n"/>
      <c r="AI59" s="61" t="n"/>
      <c r="AJ59" s="61" t="n"/>
      <c r="AK59" s="61" t="n"/>
      <c r="AL59" s="61" t="n"/>
      <c r="AM59" s="61" t="n"/>
      <c r="AN59" s="61" t="n"/>
      <c r="AO59" s="61" t="n"/>
      <c r="AP59" s="83" t="n">
        <v>0.7083333333333334</v>
      </c>
      <c r="AQ59" s="84" t="inlineStr">
        <is>
          <t>Bathri</t>
        </is>
      </c>
      <c r="AR59" s="19" t="n"/>
      <c r="AS59" s="19" t="n"/>
      <c r="AT59" s="83" t="n">
        <v>0.8333333333333334</v>
      </c>
      <c r="AU59" s="84" t="inlineStr">
        <is>
          <t>Abinaya</t>
        </is>
      </c>
      <c r="AV59" s="61" t="n"/>
      <c r="AW59" s="61" t="n"/>
      <c r="AX59" s="83" t="n">
        <v>0.8333333333333334</v>
      </c>
      <c r="AY59" s="84" t="inlineStr">
        <is>
          <t>Abinaya</t>
        </is>
      </c>
      <c r="AZ59" s="61" t="n"/>
      <c r="BA59" s="61" t="n"/>
      <c r="BB59" s="61" t="n"/>
      <c r="BC59" s="61" t="n"/>
      <c r="BD59" s="61" t="n"/>
      <c r="BE59" s="61" t="n"/>
      <c r="BF59" s="19" t="n"/>
      <c r="BG59" s="19" t="n"/>
      <c r="BH59" s="83" t="n">
        <v>0.8333333333333334</v>
      </c>
      <c r="BI59" s="84" t="inlineStr">
        <is>
          <t>Abinaya</t>
        </is>
      </c>
      <c r="BJ59" s="61" t="n"/>
      <c r="BK59" s="61" t="n"/>
      <c r="BL59" s="83" t="n">
        <v>0.7083333333333334</v>
      </c>
      <c r="BM59" s="84" t="inlineStr">
        <is>
          <t>Prakash</t>
        </is>
      </c>
      <c r="BN59" s="61" t="n"/>
      <c r="BO59" s="61" t="n"/>
      <c r="BP59" s="61" t="n"/>
      <c r="BQ59" s="61" t="n"/>
      <c r="BR59" s="60" t="n">
        <v>0.7916666666666666</v>
      </c>
      <c r="BS59" s="61" t="inlineStr">
        <is>
          <t>Abinaya</t>
        </is>
      </c>
      <c r="BT59" s="16" t="inlineStr">
        <is>
          <t>Newly assigned for Oct</t>
        </is>
      </c>
      <c r="BU59" s="61">
        <f>MIN(G59,12)</f>
        <v/>
      </c>
      <c r="BV59" s="61">
        <f>COUNT(J59:W59)</f>
        <v/>
      </c>
      <c r="BW59" s="61">
        <f>COUNT(X59:AK59)</f>
        <v/>
      </c>
      <c r="BX59" s="61">
        <f>COUNT(AL59:AY59)</f>
        <v/>
      </c>
      <c r="BY59" s="61">
        <f>COUNT(AZ59:BS59)</f>
        <v/>
      </c>
      <c r="BZ59" s="61">
        <f>IF(AND(H59=$BU59,BV59&gt;=INT($BU59/4),BV59&lt;=INT($BU59/4)+IF(MOD($BU59,4)&gt;0,1,0),BW59&gt;=INT($BU59/4),BW59&lt;=INT($BU59/4)+IF(MOD($BU59,4)&gt;0,1,0),BX59&gt;=INT($BU59/4),BX59&lt;=INT($BU59/4)+IF(MOD($BU59,4)&gt;0,1,0),BY59&gt;=INT($BU59/4),BY59&lt;=INT($BU59/4)+IF(MOD($BU59,4)&gt;0,1,0)),"OK","CHECK")</f>
        <v/>
      </c>
    </row>
    <row r="60" ht="15" customHeight="1">
      <c r="A60" s="16" t="inlineStr">
        <is>
          <t>Mohhan</t>
        </is>
      </c>
      <c r="B60" s="16" t="inlineStr">
        <is>
          <t>MKS00064</t>
        </is>
      </c>
      <c r="C60" s="16" t="n">
        <v>4.6</v>
      </c>
      <c r="D60" s="16" t="inlineStr">
        <is>
          <t>Early Intermediate</t>
        </is>
      </c>
      <c r="E60" s="16" t="inlineStr">
        <is>
          <t>G Early Intermediate2</t>
        </is>
      </c>
      <c r="F60" s="16" t="n"/>
      <c r="G60" s="61" t="n">
        <v>8</v>
      </c>
      <c r="H60" s="61">
        <f>COUNT(J60:BS60)</f>
        <v/>
      </c>
      <c r="I60" s="63">
        <f>G60-H60</f>
        <v/>
      </c>
      <c r="J60" s="61" t="n"/>
      <c r="K60" s="61" t="n"/>
      <c r="L60" s="61" t="n"/>
      <c r="M60" s="61" t="n"/>
      <c r="N60" s="60" t="n">
        <v>0.7916666666666666</v>
      </c>
      <c r="O60" s="61" t="inlineStr">
        <is>
          <t>Dhaanush</t>
        </is>
      </c>
      <c r="P60" s="19" t="n"/>
      <c r="Q60" s="19" t="n"/>
      <c r="R60" s="61" t="n"/>
      <c r="S60" s="61" t="n"/>
      <c r="T60" s="61" t="n"/>
      <c r="U60" s="61" t="n"/>
      <c r="V60" s="60" t="n">
        <v>0.7916666666666666</v>
      </c>
      <c r="W60" s="61" t="inlineStr">
        <is>
          <t>Dhaanush</t>
        </is>
      </c>
      <c r="X60" s="61" t="n"/>
      <c r="Y60" s="61" t="n"/>
      <c r="Z60" s="61" t="n"/>
      <c r="AA60" s="61" t="n"/>
      <c r="AB60" s="60" t="n">
        <v>0.7916666666666666</v>
      </c>
      <c r="AC60" s="61" t="inlineStr">
        <is>
          <t>Dhaanush</t>
        </is>
      </c>
      <c r="AD60" s="19" t="n"/>
      <c r="AE60" s="19" t="n"/>
      <c r="AF60" s="61" t="n"/>
      <c r="AG60" s="61" t="n"/>
      <c r="AH60" s="61" t="n"/>
      <c r="AI60" s="61" t="n"/>
      <c r="AJ60" s="60" t="n">
        <v>0.7916666666666666</v>
      </c>
      <c r="AK60" s="61" t="inlineStr">
        <is>
          <t>Dhaanush</t>
        </is>
      </c>
      <c r="AL60" s="61" t="n"/>
      <c r="AM60" s="61" t="n"/>
      <c r="AN60" s="61" t="n"/>
      <c r="AO60" s="61" t="n"/>
      <c r="AP60" s="60" t="n">
        <v>0.7916666666666666</v>
      </c>
      <c r="AQ60" s="61" t="inlineStr">
        <is>
          <t>Dhaanush</t>
        </is>
      </c>
      <c r="AR60" s="19" t="n"/>
      <c r="AS60" s="19" t="n"/>
      <c r="AT60" s="61" t="n"/>
      <c r="AU60" s="61" t="n"/>
      <c r="AV60" s="61" t="n"/>
      <c r="AW60" s="61" t="n"/>
      <c r="AX60" s="60" t="n">
        <v>0.7916666666666666</v>
      </c>
      <c r="AY60" s="61" t="inlineStr">
        <is>
          <t>Dhaanush</t>
        </is>
      </c>
      <c r="AZ60" s="61" t="n"/>
      <c r="BA60" s="61" t="n"/>
      <c r="BB60" s="61" t="n"/>
      <c r="BC60" s="61" t="n"/>
      <c r="BD60" s="60" t="n">
        <v>0.7916666666666666</v>
      </c>
      <c r="BE60" s="61" t="inlineStr">
        <is>
          <t>Dhaanush</t>
        </is>
      </c>
      <c r="BF60" s="19" t="n"/>
      <c r="BG60" s="19" t="n"/>
      <c r="BH60" s="61" t="n"/>
      <c r="BI60" s="61" t="n"/>
      <c r="BJ60" s="61" t="n"/>
      <c r="BK60" s="61" t="n"/>
      <c r="BL60" s="61" t="n"/>
      <c r="BM60" s="61" t="n"/>
      <c r="BN60" s="61" t="n"/>
      <c r="BO60" s="61" t="n"/>
      <c r="BP60" s="61" t="n"/>
      <c r="BQ60" s="61" t="n"/>
      <c r="BR60" s="60" t="n">
        <v>0.7916666666666666</v>
      </c>
      <c r="BS60" s="61" t="inlineStr">
        <is>
          <t>Dhaanush</t>
        </is>
      </c>
      <c r="BT60" s="16" t="n"/>
      <c r="BU60" s="61">
        <f>MIN(G60,12)</f>
        <v/>
      </c>
      <c r="BV60" s="61">
        <f>COUNT(J60:W60)</f>
        <v/>
      </c>
      <c r="BW60" s="61">
        <f>COUNT(X60:AK60)</f>
        <v/>
      </c>
      <c r="BX60" s="61">
        <f>COUNT(AL60:AY60)</f>
        <v/>
      </c>
      <c r="BY60" s="61">
        <f>COUNT(AZ60:BS60)</f>
        <v/>
      </c>
      <c r="BZ60" s="61">
        <f>IF(AND(H60=$BU60,BV60&gt;=INT($BU60/4),BV60&lt;=INT($BU60/4)+IF(MOD($BU60,4)&gt;0,1,0),BW60&gt;=INT($BU60/4),BW60&lt;=INT($BU60/4)+IF(MOD($BU60,4)&gt;0,1,0),BX60&gt;=INT($BU60/4),BX60&lt;=INT($BU60/4)+IF(MOD($BU60,4)&gt;0,1,0),BY60&gt;=INT($BU60/4),BY60&lt;=INT($BU60/4)+IF(MOD($BU60,4)&gt;0,1,0)),"OK","CHECK")</f>
        <v/>
      </c>
    </row>
    <row r="61" ht="15" customHeight="1">
      <c r="A61" s="16" t="inlineStr">
        <is>
          <t>Kavinth P</t>
        </is>
      </c>
      <c r="B61" s="16" t="inlineStr">
        <is>
          <t>MKS00217</t>
        </is>
      </c>
      <c r="C61" s="16" t="n">
        <v>1.1</v>
      </c>
      <c r="D61" s="16" t="inlineStr">
        <is>
          <t>Beginner</t>
        </is>
      </c>
      <c r="E61" s="16" t="inlineStr">
        <is>
          <t>G Beginner1</t>
        </is>
      </c>
      <c r="F61" s="16" t="n"/>
      <c r="G61" s="61" t="n">
        <v>12</v>
      </c>
      <c r="H61" s="61">
        <f>COUNT(J61:BS61)</f>
        <v/>
      </c>
      <c r="I61" s="63">
        <f>G61-H61</f>
        <v/>
      </c>
      <c r="J61" s="61" t="n"/>
      <c r="K61" s="61" t="n"/>
      <c r="L61" s="61" t="n"/>
      <c r="M61" s="61" t="n"/>
      <c r="N61" s="61" t="n"/>
      <c r="O61" s="61" t="n"/>
      <c r="P61" s="32" t="n">
        <v>0.4583333333333333</v>
      </c>
      <c r="Q61" s="19" t="inlineStr">
        <is>
          <t>Abinaya</t>
        </is>
      </c>
      <c r="R61" s="60" t="n">
        <v>0.8333333333333334</v>
      </c>
      <c r="S61" s="61" t="inlineStr">
        <is>
          <t>Abinaya</t>
        </is>
      </c>
      <c r="T61" s="61" t="n"/>
      <c r="U61" s="61" t="n"/>
      <c r="V61" s="60" t="n">
        <v>0.8333333333333334</v>
      </c>
      <c r="W61" s="61" t="inlineStr">
        <is>
          <t>Abinaya</t>
        </is>
      </c>
      <c r="X61" s="61" t="n"/>
      <c r="Y61" s="61" t="n"/>
      <c r="Z61" s="61" t="n"/>
      <c r="AA61" s="61" t="n"/>
      <c r="AB61" s="61" t="n"/>
      <c r="AC61" s="61" t="n"/>
      <c r="AD61" s="32" t="n">
        <v>0.4583333333333333</v>
      </c>
      <c r="AE61" s="19" t="inlineStr">
        <is>
          <t>Abinaya</t>
        </is>
      </c>
      <c r="AF61" s="60" t="n">
        <v>0.8333333333333334</v>
      </c>
      <c r="AG61" s="61" t="inlineStr">
        <is>
          <t>Abinaya</t>
        </is>
      </c>
      <c r="AH61" s="61" t="n"/>
      <c r="AI61" s="61" t="n"/>
      <c r="AJ61" s="60" t="n">
        <v>0.8333333333333334</v>
      </c>
      <c r="AK61" s="61" t="inlineStr">
        <is>
          <t>Abinaya</t>
        </is>
      </c>
      <c r="AL61" s="61" t="n"/>
      <c r="AM61" s="61" t="n"/>
      <c r="AN61" s="61" t="n"/>
      <c r="AO61" s="61" t="n"/>
      <c r="AP61" s="61" t="n"/>
      <c r="AQ61" s="61" t="n"/>
      <c r="AR61" s="32" t="n">
        <v>0.4583333333333333</v>
      </c>
      <c r="AS61" s="19" t="inlineStr">
        <is>
          <t>Abinaya</t>
        </is>
      </c>
      <c r="AT61" s="60" t="n">
        <v>0.8333333333333334</v>
      </c>
      <c r="AU61" s="61" t="inlineStr">
        <is>
          <t>Abinaya</t>
        </is>
      </c>
      <c r="AV61" s="61" t="n"/>
      <c r="AW61" s="61" t="n"/>
      <c r="AX61" s="60" t="n">
        <v>0.8333333333333334</v>
      </c>
      <c r="AY61" s="61" t="inlineStr">
        <is>
          <t>Abinaya</t>
        </is>
      </c>
      <c r="AZ61" s="61" t="n"/>
      <c r="BA61" s="61" t="n"/>
      <c r="BB61" s="61" t="n"/>
      <c r="BC61" s="61" t="n"/>
      <c r="BD61" s="61" t="n"/>
      <c r="BE61" s="61" t="n"/>
      <c r="BF61" s="32" t="n">
        <v>0.4583333333333333</v>
      </c>
      <c r="BG61" s="19" t="inlineStr">
        <is>
          <t>Abinaya</t>
        </is>
      </c>
      <c r="BH61" s="60" t="n">
        <v>0.8333333333333334</v>
      </c>
      <c r="BI61" s="61" t="inlineStr">
        <is>
          <t>Abinaya</t>
        </is>
      </c>
      <c r="BJ61" s="61" t="n"/>
      <c r="BK61" s="61" t="n"/>
      <c r="BL61" s="60" t="n">
        <v>0.8333333333333334</v>
      </c>
      <c r="BM61" s="61" t="inlineStr">
        <is>
          <t>Abinaya</t>
        </is>
      </c>
      <c r="BN61" s="61" t="n"/>
      <c r="BO61" s="61" t="n"/>
      <c r="BP61" s="61" t="n"/>
      <c r="BQ61" s="61" t="n"/>
      <c r="BR61" s="61" t="n"/>
      <c r="BS61" s="61" t="n"/>
      <c r="BT61" s="16" t="n"/>
      <c r="BU61" s="61">
        <f>MIN(G61,12)</f>
        <v/>
      </c>
      <c r="BV61" s="61">
        <f>COUNT(J61:W61)</f>
        <v/>
      </c>
      <c r="BW61" s="61">
        <f>COUNT(X61:AK61)</f>
        <v/>
      </c>
      <c r="BX61" s="61">
        <f>COUNT(AL61:AY61)</f>
        <v/>
      </c>
      <c r="BY61" s="61">
        <f>COUNT(AZ61:BS61)</f>
        <v/>
      </c>
      <c r="BZ61" s="61">
        <f>IF(AND(H61=$BU61,BV61&gt;=INT($BU61/4),BV61&lt;=INT($BU61/4)+IF(MOD($BU61,4)&gt;0,1,0),BW61&gt;=INT($BU61/4),BW61&lt;=INT($BU61/4)+IF(MOD($BU61,4)&gt;0,1,0),BX61&gt;=INT($BU61/4),BX61&lt;=INT($BU61/4)+IF(MOD($BU61,4)&gt;0,1,0),BY61&gt;=INT($BU61/4),BY61&lt;=INT($BU61/4)+IF(MOD($BU61,4)&gt;0,1,0)),"OK","CHECK")</f>
        <v/>
      </c>
    </row>
    <row r="62" ht="15" customHeight="1">
      <c r="A62" s="16" t="inlineStr">
        <is>
          <t>Thenamilthan.S</t>
        </is>
      </c>
      <c r="B62" s="16" t="inlineStr">
        <is>
          <t>MKS00200</t>
        </is>
      </c>
      <c r="C62" s="16" t="n">
        <v>1.8</v>
      </c>
      <c r="D62" s="16" t="inlineStr">
        <is>
          <t>Beginner</t>
        </is>
      </c>
      <c r="E62" s="16" t="inlineStr">
        <is>
          <t>G Beginner1</t>
        </is>
      </c>
      <c r="F62" s="16" t="n"/>
      <c r="G62" s="61" t="n">
        <v>12</v>
      </c>
      <c r="H62" s="61">
        <f>COUNT(J62:BS62)</f>
        <v/>
      </c>
      <c r="I62" s="63">
        <f>G62-H62</f>
        <v/>
      </c>
      <c r="J62" s="61" t="n"/>
      <c r="K62" s="61" t="n"/>
      <c r="L62" s="61" t="n"/>
      <c r="M62" s="61" t="n"/>
      <c r="N62" s="61" t="n"/>
      <c r="O62" s="61" t="n"/>
      <c r="P62" s="32" t="n">
        <v>0.4583333333333333</v>
      </c>
      <c r="Q62" s="19" t="inlineStr">
        <is>
          <t>Abinaya</t>
        </is>
      </c>
      <c r="R62" s="60" t="n">
        <v>0.8333333333333334</v>
      </c>
      <c r="S62" s="61" t="inlineStr">
        <is>
          <t>Abinaya</t>
        </is>
      </c>
      <c r="T62" s="61" t="n"/>
      <c r="U62" s="61" t="n"/>
      <c r="V62" s="60" t="n">
        <v>0.8333333333333334</v>
      </c>
      <c r="W62" s="61" t="inlineStr">
        <is>
          <t>Abinaya</t>
        </is>
      </c>
      <c r="X62" s="61" t="n"/>
      <c r="Y62" s="61" t="n"/>
      <c r="Z62" s="61" t="n"/>
      <c r="AA62" s="61" t="n"/>
      <c r="AB62" s="61" t="n"/>
      <c r="AC62" s="61" t="n"/>
      <c r="AD62" s="32" t="n">
        <v>0.4583333333333333</v>
      </c>
      <c r="AE62" s="19" t="inlineStr">
        <is>
          <t>Abinaya</t>
        </is>
      </c>
      <c r="AF62" s="60" t="n">
        <v>0.8333333333333334</v>
      </c>
      <c r="AG62" s="61" t="inlineStr">
        <is>
          <t>Abinaya</t>
        </is>
      </c>
      <c r="AH62" s="61" t="n"/>
      <c r="AI62" s="61" t="n"/>
      <c r="AJ62" s="60" t="n">
        <v>0.8333333333333334</v>
      </c>
      <c r="AK62" s="61" t="inlineStr">
        <is>
          <t>Abinaya</t>
        </is>
      </c>
      <c r="AL62" s="61" t="n"/>
      <c r="AM62" s="61" t="n"/>
      <c r="AN62" s="61" t="n"/>
      <c r="AO62" s="61" t="n"/>
      <c r="AP62" s="61" t="n"/>
      <c r="AQ62" s="61" t="n"/>
      <c r="AR62" s="32" t="n">
        <v>0.4583333333333333</v>
      </c>
      <c r="AS62" s="19" t="inlineStr">
        <is>
          <t>Abinaya</t>
        </is>
      </c>
      <c r="AT62" s="60" t="n">
        <v>0.8333333333333334</v>
      </c>
      <c r="AU62" s="61" t="inlineStr">
        <is>
          <t>Abinaya</t>
        </is>
      </c>
      <c r="AV62" s="61" t="n"/>
      <c r="AW62" s="61" t="n"/>
      <c r="AX62" s="60" t="n">
        <v>0.8333333333333334</v>
      </c>
      <c r="AY62" s="61" t="inlineStr">
        <is>
          <t>Abinaya</t>
        </is>
      </c>
      <c r="AZ62" s="61" t="n"/>
      <c r="BA62" s="61" t="n"/>
      <c r="BB62" s="61" t="n"/>
      <c r="BC62" s="61" t="n"/>
      <c r="BD62" s="61" t="n"/>
      <c r="BE62" s="61" t="n"/>
      <c r="BF62" s="32" t="n">
        <v>0.4583333333333333</v>
      </c>
      <c r="BG62" s="19" t="inlineStr">
        <is>
          <t>Abinaya</t>
        </is>
      </c>
      <c r="BH62" s="60" t="n">
        <v>0.8333333333333334</v>
      </c>
      <c r="BI62" s="61" t="inlineStr">
        <is>
          <t>Abinaya</t>
        </is>
      </c>
      <c r="BJ62" s="61" t="n"/>
      <c r="BK62" s="61" t="n"/>
      <c r="BL62" s="60" t="n">
        <v>0.8333333333333334</v>
      </c>
      <c r="BM62" s="61" t="inlineStr">
        <is>
          <t>Abinaya</t>
        </is>
      </c>
      <c r="BN62" s="61" t="n"/>
      <c r="BO62" s="61" t="n"/>
      <c r="BP62" s="61" t="n"/>
      <c r="BQ62" s="61" t="n"/>
      <c r="BR62" s="61" t="n"/>
      <c r="BS62" s="61" t="n"/>
      <c r="BT62" s="16" t="n"/>
      <c r="BU62" s="61">
        <f>MIN(G62,12)</f>
        <v/>
      </c>
      <c r="BV62" s="61">
        <f>COUNT(J62:W62)</f>
        <v/>
      </c>
      <c r="BW62" s="61">
        <f>COUNT(X62:AK62)</f>
        <v/>
      </c>
      <c r="BX62" s="61">
        <f>COUNT(AL62:AY62)</f>
        <v/>
      </c>
      <c r="BY62" s="61">
        <f>COUNT(AZ62:BS62)</f>
        <v/>
      </c>
      <c r="BZ62" s="61">
        <f>IF(AND(H62=$BU62,BV62&gt;=INT($BU62/4),BV62&lt;=INT($BU62/4)+IF(MOD($BU62,4)&gt;0,1,0),BW62&gt;=INT($BU62/4),BW62&lt;=INT($BU62/4)+IF(MOD($BU62,4)&gt;0,1,0),BX62&gt;=INT($BU62/4),BX62&lt;=INT($BU62/4)+IF(MOD($BU62,4)&gt;0,1,0),BY62&gt;=INT($BU62/4),BY62&lt;=INT($BU62/4)+IF(MOD($BU62,4)&gt;0,1,0)),"OK","CHECK")</f>
        <v/>
      </c>
    </row>
    <row r="63" ht="15" customHeight="1">
      <c r="A63" s="16" t="inlineStr">
        <is>
          <t>S.Kavirenu</t>
        </is>
      </c>
      <c r="B63" s="16" t="inlineStr">
        <is>
          <t>MKS00199</t>
        </is>
      </c>
      <c r="C63" s="16" t="n">
        <v>1.8</v>
      </c>
      <c r="D63" s="16" t="inlineStr">
        <is>
          <t>Beginner</t>
        </is>
      </c>
      <c r="E63" s="16" t="inlineStr">
        <is>
          <t>G Beginner1</t>
        </is>
      </c>
      <c r="F63" s="16" t="n"/>
      <c r="G63" s="61" t="n">
        <v>12</v>
      </c>
      <c r="H63" s="61">
        <f>COUNT(J63:BS63)</f>
        <v/>
      </c>
      <c r="I63" s="63">
        <f>G63-H63</f>
        <v/>
      </c>
      <c r="J63" s="61" t="n"/>
      <c r="K63" s="61" t="n"/>
      <c r="L63" s="61" t="n"/>
      <c r="M63" s="61" t="n"/>
      <c r="N63" s="61" t="n"/>
      <c r="O63" s="61" t="n"/>
      <c r="P63" s="32" t="n">
        <v>0.4583333333333333</v>
      </c>
      <c r="Q63" s="19" t="inlineStr">
        <is>
          <t>Abinaya</t>
        </is>
      </c>
      <c r="R63" s="60" t="n">
        <v>0.8333333333333334</v>
      </c>
      <c r="S63" s="61" t="inlineStr">
        <is>
          <t>Abinaya</t>
        </is>
      </c>
      <c r="T63" s="61" t="n"/>
      <c r="U63" s="61" t="n"/>
      <c r="V63" s="60" t="n">
        <v>0.8333333333333334</v>
      </c>
      <c r="W63" s="61" t="inlineStr">
        <is>
          <t>Abinaya</t>
        </is>
      </c>
      <c r="X63" s="61" t="n"/>
      <c r="Y63" s="61" t="n"/>
      <c r="Z63" s="61" t="n"/>
      <c r="AA63" s="61" t="n"/>
      <c r="AB63" s="61" t="n"/>
      <c r="AC63" s="61" t="n"/>
      <c r="AD63" s="32" t="n">
        <v>0.4583333333333333</v>
      </c>
      <c r="AE63" s="19" t="inlineStr">
        <is>
          <t>Abinaya</t>
        </is>
      </c>
      <c r="AF63" s="60" t="n">
        <v>0.8333333333333334</v>
      </c>
      <c r="AG63" s="61" t="inlineStr">
        <is>
          <t>Abinaya</t>
        </is>
      </c>
      <c r="AH63" s="61" t="n"/>
      <c r="AI63" s="61" t="n"/>
      <c r="AJ63" s="60" t="n">
        <v>0.8333333333333334</v>
      </c>
      <c r="AK63" s="61" t="inlineStr">
        <is>
          <t>Abinaya</t>
        </is>
      </c>
      <c r="AL63" s="61" t="n"/>
      <c r="AM63" s="61" t="n"/>
      <c r="AN63" s="61" t="n"/>
      <c r="AO63" s="61" t="n"/>
      <c r="AP63" s="61" t="n"/>
      <c r="AQ63" s="61" t="n"/>
      <c r="AR63" s="32" t="n">
        <v>0.4583333333333333</v>
      </c>
      <c r="AS63" s="19" t="inlineStr">
        <is>
          <t>Abinaya</t>
        </is>
      </c>
      <c r="AT63" s="60" t="n">
        <v>0.8333333333333334</v>
      </c>
      <c r="AU63" s="61" t="inlineStr">
        <is>
          <t>Abinaya</t>
        </is>
      </c>
      <c r="AV63" s="61" t="n"/>
      <c r="AW63" s="61" t="n"/>
      <c r="AX63" s="60" t="n">
        <v>0.8333333333333334</v>
      </c>
      <c r="AY63" s="61" t="inlineStr">
        <is>
          <t>Abinaya</t>
        </is>
      </c>
      <c r="AZ63" s="61" t="n"/>
      <c r="BA63" s="61" t="n"/>
      <c r="BB63" s="61" t="n"/>
      <c r="BC63" s="61" t="n"/>
      <c r="BD63" s="61" t="n"/>
      <c r="BE63" s="61" t="n"/>
      <c r="BF63" s="32" t="n">
        <v>0.4583333333333333</v>
      </c>
      <c r="BG63" s="19" t="inlineStr">
        <is>
          <t>Abinaya</t>
        </is>
      </c>
      <c r="BH63" s="60" t="n">
        <v>0.8333333333333334</v>
      </c>
      <c r="BI63" s="61" t="inlineStr">
        <is>
          <t>Abinaya</t>
        </is>
      </c>
      <c r="BJ63" s="61" t="n"/>
      <c r="BK63" s="61" t="n"/>
      <c r="BL63" s="60" t="n">
        <v>0.8333333333333334</v>
      </c>
      <c r="BM63" s="61" t="inlineStr">
        <is>
          <t>Abinaya</t>
        </is>
      </c>
      <c r="BN63" s="61" t="n"/>
      <c r="BO63" s="61" t="n"/>
      <c r="BP63" s="61" t="n"/>
      <c r="BQ63" s="61" t="n"/>
      <c r="BR63" s="61" t="n"/>
      <c r="BS63" s="61" t="n"/>
      <c r="BT63" s="16" t="n"/>
      <c r="BU63" s="61">
        <f>MIN(G63,12)</f>
        <v/>
      </c>
      <c r="BV63" s="61">
        <f>COUNT(J63:W63)</f>
        <v/>
      </c>
      <c r="BW63" s="61">
        <f>COUNT(X63:AK63)</f>
        <v/>
      </c>
      <c r="BX63" s="61">
        <f>COUNT(AL63:AY63)</f>
        <v/>
      </c>
      <c r="BY63" s="61">
        <f>COUNT(AZ63:BS63)</f>
        <v/>
      </c>
      <c r="BZ63" s="61">
        <f>IF(AND(H63=$BU63,BV63&gt;=INT($BU63/4),BV63&lt;=INT($BU63/4)+IF(MOD($BU63,4)&gt;0,1,0),BW63&gt;=INT($BU63/4),BW63&lt;=INT($BU63/4)+IF(MOD($BU63,4)&gt;0,1,0),BX63&gt;=INT($BU63/4),BX63&lt;=INT($BU63/4)+IF(MOD($BU63,4)&gt;0,1,0),BY63&gt;=INT($BU63/4),BY63&lt;=INT($BU63/4)+IF(MOD($BU63,4)&gt;0,1,0)),"OK","CHECK")</f>
        <v/>
      </c>
    </row>
    <row r="64" ht="15" customHeight="1">
      <c r="A64" s="16" t="inlineStr">
        <is>
          <t>S.Kabilan</t>
        </is>
      </c>
      <c r="B64" s="16" t="inlineStr">
        <is>
          <t>MKS00198</t>
        </is>
      </c>
      <c r="C64" s="16" t="n">
        <v>1.8</v>
      </c>
      <c r="D64" s="16" t="inlineStr">
        <is>
          <t>Beginner</t>
        </is>
      </c>
      <c r="E64" s="16" t="inlineStr">
        <is>
          <t>G Beginner1</t>
        </is>
      </c>
      <c r="F64" s="16" t="n"/>
      <c r="G64" s="61" t="n">
        <v>12</v>
      </c>
      <c r="H64" s="61">
        <f>COUNT(J64:BS64)</f>
        <v/>
      </c>
      <c r="I64" s="63">
        <f>G64-H64</f>
        <v/>
      </c>
      <c r="J64" s="61" t="n"/>
      <c r="K64" s="61" t="n"/>
      <c r="L64" s="61" t="n"/>
      <c r="M64" s="61" t="n"/>
      <c r="N64" s="61" t="n"/>
      <c r="O64" s="61" t="n"/>
      <c r="P64" s="32" t="n">
        <v>0.4583333333333333</v>
      </c>
      <c r="Q64" s="19" t="inlineStr">
        <is>
          <t>Abinaya</t>
        </is>
      </c>
      <c r="R64" s="60" t="n">
        <v>0.8333333333333334</v>
      </c>
      <c r="S64" s="61" t="inlineStr">
        <is>
          <t>Abinaya</t>
        </is>
      </c>
      <c r="T64" s="61" t="n"/>
      <c r="U64" s="61" t="n"/>
      <c r="V64" s="60" t="n">
        <v>0.8333333333333334</v>
      </c>
      <c r="W64" s="61" t="inlineStr">
        <is>
          <t>Abinaya</t>
        </is>
      </c>
      <c r="X64" s="61" t="n"/>
      <c r="Y64" s="61" t="n"/>
      <c r="Z64" s="61" t="n"/>
      <c r="AA64" s="61" t="n"/>
      <c r="AB64" s="61" t="n"/>
      <c r="AC64" s="61" t="n"/>
      <c r="AD64" s="32" t="n">
        <v>0.4583333333333333</v>
      </c>
      <c r="AE64" s="19" t="inlineStr">
        <is>
          <t>Abinaya</t>
        </is>
      </c>
      <c r="AF64" s="60" t="n">
        <v>0.8333333333333334</v>
      </c>
      <c r="AG64" s="61" t="inlineStr">
        <is>
          <t>Abinaya</t>
        </is>
      </c>
      <c r="AH64" s="61" t="n"/>
      <c r="AI64" s="61" t="n"/>
      <c r="AJ64" s="60" t="n">
        <v>0.8333333333333334</v>
      </c>
      <c r="AK64" s="61" t="inlineStr">
        <is>
          <t>Abinaya</t>
        </is>
      </c>
      <c r="AL64" s="61" t="n"/>
      <c r="AM64" s="61" t="n"/>
      <c r="AN64" s="61" t="n"/>
      <c r="AO64" s="61" t="n"/>
      <c r="AP64" s="61" t="n"/>
      <c r="AQ64" s="61" t="n"/>
      <c r="AR64" s="32" t="n">
        <v>0.4583333333333333</v>
      </c>
      <c r="AS64" s="19" t="inlineStr">
        <is>
          <t>Abinaya</t>
        </is>
      </c>
      <c r="AT64" s="60" t="n">
        <v>0.8333333333333334</v>
      </c>
      <c r="AU64" s="61" t="inlineStr">
        <is>
          <t>Abinaya</t>
        </is>
      </c>
      <c r="AV64" s="61" t="n"/>
      <c r="AW64" s="61" t="n"/>
      <c r="AX64" s="60" t="n">
        <v>0.8333333333333334</v>
      </c>
      <c r="AY64" s="61" t="inlineStr">
        <is>
          <t>Abinaya</t>
        </is>
      </c>
      <c r="AZ64" s="61" t="n"/>
      <c r="BA64" s="61" t="n"/>
      <c r="BB64" s="61" t="n"/>
      <c r="BC64" s="61" t="n"/>
      <c r="BD64" s="61" t="n"/>
      <c r="BE64" s="61" t="n"/>
      <c r="BF64" s="32" t="n">
        <v>0.4583333333333333</v>
      </c>
      <c r="BG64" s="19" t="inlineStr">
        <is>
          <t>Abinaya</t>
        </is>
      </c>
      <c r="BH64" s="60" t="n">
        <v>0.8333333333333334</v>
      </c>
      <c r="BI64" s="61" t="inlineStr">
        <is>
          <t>Abinaya</t>
        </is>
      </c>
      <c r="BJ64" s="61" t="n"/>
      <c r="BK64" s="61" t="n"/>
      <c r="BL64" s="60" t="n">
        <v>0.8333333333333334</v>
      </c>
      <c r="BM64" s="61" t="inlineStr">
        <is>
          <t>Abinaya</t>
        </is>
      </c>
      <c r="BN64" s="61" t="n"/>
      <c r="BO64" s="61" t="n"/>
      <c r="BP64" s="61" t="n"/>
      <c r="BQ64" s="61" t="n"/>
      <c r="BR64" s="61" t="n"/>
      <c r="BS64" s="61" t="n"/>
      <c r="BT64" s="16" t="n"/>
      <c r="BU64" s="61">
        <f>MIN(G64,12)</f>
        <v/>
      </c>
      <c r="BV64" s="61">
        <f>COUNT(J64:W64)</f>
        <v/>
      </c>
      <c r="BW64" s="61">
        <f>COUNT(X64:AK64)</f>
        <v/>
      </c>
      <c r="BX64" s="61">
        <f>COUNT(AL64:AY64)</f>
        <v/>
      </c>
      <c r="BY64" s="61">
        <f>COUNT(AZ64:BS64)</f>
        <v/>
      </c>
      <c r="BZ64" s="61">
        <f>IF(AND(H64=$BU64,BV64&gt;=INT($BU64/4),BV64&lt;=INT($BU64/4)+IF(MOD($BU64,4)&gt;0,1,0),BW64&gt;=INT($BU64/4),BW64&lt;=INT($BU64/4)+IF(MOD($BU64,4)&gt;0,1,0),BX64&gt;=INT($BU64/4),BX64&lt;=INT($BU64/4)+IF(MOD($BU64,4)&gt;0,1,0),BY64&gt;=INT($BU64/4),BY64&lt;=INT($BU64/4)+IF(MOD($BU64,4)&gt;0,1,0)),"OK","CHECK")</f>
        <v/>
      </c>
    </row>
    <row r="65" ht="15" customHeight="1">
      <c r="A65" s="16" t="inlineStr">
        <is>
          <t>M.Srisaran</t>
        </is>
      </c>
      <c r="B65" s="16" t="inlineStr">
        <is>
          <t>MKS00186</t>
        </is>
      </c>
      <c r="C65" s="16" t="n">
        <v>2.2</v>
      </c>
      <c r="D65" s="16" t="inlineStr">
        <is>
          <t>Beginner</t>
        </is>
      </c>
      <c r="E65" s="16" t="inlineStr">
        <is>
          <t>G Beginner1</t>
        </is>
      </c>
      <c r="F65" s="16" t="n"/>
      <c r="G65" s="61" t="n">
        <v>12</v>
      </c>
      <c r="H65" s="61">
        <f>COUNT(J65:BS65)</f>
        <v/>
      </c>
      <c r="I65" s="63">
        <f>G65-H65</f>
        <v/>
      </c>
      <c r="J65" s="61" t="n"/>
      <c r="K65" s="61" t="n"/>
      <c r="L65" s="61" t="n"/>
      <c r="M65" s="61" t="n"/>
      <c r="N65" s="61" t="n"/>
      <c r="O65" s="61" t="n"/>
      <c r="P65" s="32" t="n">
        <v>0.4583333333333333</v>
      </c>
      <c r="Q65" s="19" t="inlineStr">
        <is>
          <t>Abinaya</t>
        </is>
      </c>
      <c r="R65" s="60" t="n">
        <v>0.8333333333333334</v>
      </c>
      <c r="S65" s="61" t="inlineStr">
        <is>
          <t>Abinaya</t>
        </is>
      </c>
      <c r="T65" s="61" t="n"/>
      <c r="U65" s="61" t="n"/>
      <c r="V65" s="60" t="n">
        <v>0.8333333333333334</v>
      </c>
      <c r="W65" s="61" t="inlineStr">
        <is>
          <t>Abinaya</t>
        </is>
      </c>
      <c r="X65" s="61" t="n"/>
      <c r="Y65" s="61" t="n"/>
      <c r="Z65" s="61" t="n"/>
      <c r="AA65" s="61" t="n"/>
      <c r="AB65" s="61" t="n"/>
      <c r="AC65" s="61" t="n"/>
      <c r="AD65" s="32" t="n">
        <v>0.4583333333333333</v>
      </c>
      <c r="AE65" s="19" t="inlineStr">
        <is>
          <t>Abinaya</t>
        </is>
      </c>
      <c r="AF65" s="60" t="n">
        <v>0.8333333333333334</v>
      </c>
      <c r="AG65" s="61" t="inlineStr">
        <is>
          <t>Abinaya</t>
        </is>
      </c>
      <c r="AH65" s="61" t="n"/>
      <c r="AI65" s="61" t="n"/>
      <c r="AJ65" s="60" t="n">
        <v>0.8333333333333334</v>
      </c>
      <c r="AK65" s="61" t="inlineStr">
        <is>
          <t>Abinaya</t>
        </is>
      </c>
      <c r="AL65" s="61" t="n"/>
      <c r="AM65" s="61" t="n"/>
      <c r="AN65" s="61" t="n"/>
      <c r="AO65" s="61" t="n"/>
      <c r="AP65" s="61" t="n"/>
      <c r="AQ65" s="61" t="n"/>
      <c r="AR65" s="32" t="n">
        <v>0.4583333333333333</v>
      </c>
      <c r="AS65" s="19" t="inlineStr">
        <is>
          <t>Abinaya</t>
        </is>
      </c>
      <c r="AT65" s="60" t="n">
        <v>0.8333333333333334</v>
      </c>
      <c r="AU65" s="61" t="inlineStr">
        <is>
          <t>Abinaya</t>
        </is>
      </c>
      <c r="AV65" s="61" t="n"/>
      <c r="AW65" s="61" t="n"/>
      <c r="AX65" s="60" t="n">
        <v>0.8333333333333334</v>
      </c>
      <c r="AY65" s="61" t="inlineStr">
        <is>
          <t>Abinaya</t>
        </is>
      </c>
      <c r="AZ65" s="61" t="n"/>
      <c r="BA65" s="61" t="n"/>
      <c r="BB65" s="61" t="n"/>
      <c r="BC65" s="61" t="n"/>
      <c r="BD65" s="61" t="n"/>
      <c r="BE65" s="61" t="n"/>
      <c r="BF65" s="32" t="n">
        <v>0.4583333333333333</v>
      </c>
      <c r="BG65" s="19" t="inlineStr">
        <is>
          <t>Abinaya</t>
        </is>
      </c>
      <c r="BH65" s="60" t="n">
        <v>0.8333333333333334</v>
      </c>
      <c r="BI65" s="61" t="inlineStr">
        <is>
          <t>Abinaya</t>
        </is>
      </c>
      <c r="BJ65" s="61" t="n"/>
      <c r="BK65" s="61" t="n"/>
      <c r="BL65" s="60" t="n">
        <v>0.8333333333333334</v>
      </c>
      <c r="BM65" s="61" t="inlineStr">
        <is>
          <t>Abinaya</t>
        </is>
      </c>
      <c r="BN65" s="61" t="n"/>
      <c r="BO65" s="61" t="n"/>
      <c r="BP65" s="61" t="n"/>
      <c r="BQ65" s="61" t="n"/>
      <c r="BR65" s="61" t="n"/>
      <c r="BS65" s="61" t="n"/>
      <c r="BT65" s="16" t="n"/>
      <c r="BU65" s="61">
        <f>MIN(G65,12)</f>
        <v/>
      </c>
      <c r="BV65" s="61">
        <f>COUNT(J65:W65)</f>
        <v/>
      </c>
      <c r="BW65" s="61">
        <f>COUNT(X65:AK65)</f>
        <v/>
      </c>
      <c r="BX65" s="61">
        <f>COUNT(AL65:AY65)</f>
        <v/>
      </c>
      <c r="BY65" s="61">
        <f>COUNT(AZ65:BS65)</f>
        <v/>
      </c>
      <c r="BZ65" s="61">
        <f>IF(AND(H65=$BU65,BV65&gt;=INT($BU65/4),BV65&lt;=INT($BU65/4)+IF(MOD($BU65,4)&gt;0,1,0),BW65&gt;=INT($BU65/4),BW65&lt;=INT($BU65/4)+IF(MOD($BU65,4)&gt;0,1,0),BX65&gt;=INT($BU65/4),BX65&lt;=INT($BU65/4)+IF(MOD($BU65,4)&gt;0,1,0),BY65&gt;=INT($BU65/4),BY65&lt;=INT($BU65/4)+IF(MOD($BU65,4)&gt;0,1,0)),"OK","CHECK")</f>
        <v/>
      </c>
    </row>
    <row r="66" ht="15" customHeight="1">
      <c r="A66" s="16" t="inlineStr">
        <is>
          <t>Kirthik</t>
        </is>
      </c>
      <c r="B66" s="16" t="inlineStr">
        <is>
          <t>MKS00048</t>
        </is>
      </c>
      <c r="C66" s="16" t="n">
        <v>5.4</v>
      </c>
      <c r="D66" s="28" t="inlineStr">
        <is>
          <t>Early Intermediate</t>
        </is>
      </c>
      <c r="E66" s="28" t="inlineStr">
        <is>
          <t>L Early Intermediate1</t>
        </is>
      </c>
      <c r="F66" s="16" t="inlineStr">
        <is>
          <t>only on 6am class</t>
        </is>
      </c>
      <c r="G66" s="61" t="n">
        <v>8</v>
      </c>
      <c r="H66" s="61">
        <f>COUNT(J66:BS66)</f>
        <v/>
      </c>
      <c r="I66" s="63">
        <f>G66-H66</f>
        <v/>
      </c>
      <c r="J66" s="61" t="n"/>
      <c r="K66" s="61" t="n"/>
      <c r="L66" s="61" t="n"/>
      <c r="M66" s="61" t="n"/>
      <c r="N66" s="22" t="n">
        <v>0.25</v>
      </c>
      <c r="O66" s="23" t="inlineStr">
        <is>
          <t>Prakash</t>
        </is>
      </c>
      <c r="P66" s="19" t="n"/>
      <c r="Q66" s="19" t="n"/>
      <c r="R66" s="61" t="n"/>
      <c r="S66" s="61" t="n"/>
      <c r="T66" s="60" t="n">
        <v>0.25</v>
      </c>
      <c r="U66" s="61" t="inlineStr">
        <is>
          <t>Prakash</t>
        </is>
      </c>
      <c r="V66" s="60" t="n"/>
      <c r="W66" s="61" t="n"/>
      <c r="X66" s="61" t="n"/>
      <c r="Y66" s="61" t="n"/>
      <c r="Z66" s="61" t="n"/>
      <c r="AA66" s="61" t="n"/>
      <c r="AB66" s="60" t="n">
        <v>0.25</v>
      </c>
      <c r="AC66" s="61" t="inlineStr">
        <is>
          <t>Prakash</t>
        </is>
      </c>
      <c r="AD66" s="19" t="n"/>
      <c r="AE66" s="19" t="n"/>
      <c r="AF66" s="61" t="n"/>
      <c r="AG66" s="61" t="n"/>
      <c r="AH66" s="60" t="n">
        <v>0.25</v>
      </c>
      <c r="AI66" s="61" t="inlineStr">
        <is>
          <t>Prakash</t>
        </is>
      </c>
      <c r="AJ66" s="61" t="n"/>
      <c r="AK66" s="61" t="n"/>
      <c r="AL66" s="61" t="n"/>
      <c r="AM66" s="61" t="n"/>
      <c r="AN66" s="61" t="n"/>
      <c r="AO66" s="61" t="n"/>
      <c r="AP66" s="60" t="n">
        <v>0.25</v>
      </c>
      <c r="AQ66" s="61" t="inlineStr">
        <is>
          <t>Prakash</t>
        </is>
      </c>
      <c r="AR66" s="19" t="n"/>
      <c r="AS66" s="19" t="n"/>
      <c r="AT66" s="61" t="n"/>
      <c r="AU66" s="61" t="n"/>
      <c r="AV66" s="60" t="n">
        <v>0.25</v>
      </c>
      <c r="AW66" s="61" t="inlineStr">
        <is>
          <t>Prakash</t>
        </is>
      </c>
      <c r="AX66" s="61" t="n"/>
      <c r="AY66" s="61" t="n"/>
      <c r="AZ66" s="61" t="n"/>
      <c r="BA66" s="61" t="n"/>
      <c r="BB66" s="61" t="n"/>
      <c r="BC66" s="61" t="n"/>
      <c r="BD66" s="60" t="n">
        <v>0.25</v>
      </c>
      <c r="BE66" s="61" t="inlineStr">
        <is>
          <t>Prakash</t>
        </is>
      </c>
      <c r="BF66" s="19" t="n"/>
      <c r="BG66" s="19" t="n"/>
      <c r="BH66" s="61" t="n"/>
      <c r="BI66" s="61" t="n"/>
      <c r="BJ66" s="61" t="n"/>
      <c r="BK66" s="61" t="n"/>
      <c r="BL66" s="61" t="n"/>
      <c r="BM66" s="61" t="n"/>
      <c r="BN66" s="61" t="n"/>
      <c r="BO66" s="61" t="n"/>
      <c r="BP66" s="61" t="n"/>
      <c r="BQ66" s="61" t="n"/>
      <c r="BR66" s="60" t="n">
        <v>0.25</v>
      </c>
      <c r="BS66" s="61" t="inlineStr">
        <is>
          <t>Prakash</t>
        </is>
      </c>
      <c r="BT66" s="16" t="n"/>
      <c r="BU66" s="61">
        <f>MIN(G66,12)</f>
        <v/>
      </c>
      <c r="BV66" s="61">
        <f>COUNT(J66:W66)</f>
        <v/>
      </c>
      <c r="BW66" s="61">
        <f>COUNT(X66:AK66)</f>
        <v/>
      </c>
      <c r="BX66" s="61">
        <f>COUNT(AL66:AY66)</f>
        <v/>
      </c>
      <c r="BY66" s="61">
        <f>COUNT(AZ66:BS66)</f>
        <v/>
      </c>
      <c r="BZ66" s="61">
        <f>IF(AND(H66=$BU66,BV66&gt;=INT($BU66/4),BV66&lt;=INT($BU66/4)+IF(MOD($BU66,4)&gt;0,1,0),BW66&gt;=INT($BU66/4),BW66&lt;=INT($BU66/4)+IF(MOD($BU66,4)&gt;0,1,0),BX66&gt;=INT($BU66/4),BX66&lt;=INT($BU66/4)+IF(MOD($BU66,4)&gt;0,1,0),BY66&gt;=INT($BU66/4),BY66&lt;=INT($BU66/4)+IF(MOD($BU66,4)&gt;0,1,0)),"OK","CHECK")</f>
        <v/>
      </c>
    </row>
    <row r="67" ht="15" customHeight="1">
      <c r="A67" s="16" t="inlineStr">
        <is>
          <t>Pugazhini Navaneethan</t>
        </is>
      </c>
      <c r="B67" s="16" t="inlineStr">
        <is>
          <t>MKS00156</t>
        </is>
      </c>
      <c r="C67" s="16" t="n">
        <v>3.2</v>
      </c>
      <c r="D67" s="16" t="inlineStr">
        <is>
          <t>Beginner</t>
        </is>
      </c>
      <c r="E67" s="16" t="inlineStr">
        <is>
          <t>I Beginner1</t>
        </is>
      </c>
      <c r="F67" s="16" t="n"/>
      <c r="G67" s="61" t="n">
        <v>8</v>
      </c>
      <c r="H67" s="61">
        <f>COUNT(J67:BS67)</f>
        <v/>
      </c>
      <c r="I67" s="63">
        <f>G67-H67</f>
        <v/>
      </c>
      <c r="J67" s="61" t="n"/>
      <c r="K67" s="61" t="n"/>
      <c r="L67" s="61" t="n"/>
      <c r="M67" s="61" t="n"/>
      <c r="N67" s="60" t="n">
        <v>0.25</v>
      </c>
      <c r="O67" s="61" t="inlineStr">
        <is>
          <t>Bathri</t>
        </is>
      </c>
      <c r="P67" s="19" t="n"/>
      <c r="Q67" s="19" t="n"/>
      <c r="R67" s="61" t="n"/>
      <c r="S67" s="61" t="n"/>
      <c r="T67" s="60" t="n">
        <v>0.25</v>
      </c>
      <c r="U67" s="61" t="inlineStr">
        <is>
          <t>Bathri</t>
        </is>
      </c>
      <c r="V67" s="61" t="n"/>
      <c r="W67" s="61" t="n"/>
      <c r="X67" s="61" t="n"/>
      <c r="Y67" s="61" t="n"/>
      <c r="Z67" s="61" t="n"/>
      <c r="AA67" s="61" t="n"/>
      <c r="AB67" s="60" t="n">
        <v>0.25</v>
      </c>
      <c r="AC67" s="61" t="inlineStr">
        <is>
          <t>Bathri</t>
        </is>
      </c>
      <c r="AD67" s="19" t="n"/>
      <c r="AE67" s="19" t="n"/>
      <c r="AF67" s="61" t="n"/>
      <c r="AG67" s="61" t="n"/>
      <c r="AH67" s="60" t="n">
        <v>0.25</v>
      </c>
      <c r="AI67" s="61" t="inlineStr">
        <is>
          <t>Bathri</t>
        </is>
      </c>
      <c r="AJ67" s="61" t="n"/>
      <c r="AK67" s="61" t="n"/>
      <c r="AL67" s="61" t="n"/>
      <c r="AM67" s="61" t="n"/>
      <c r="AN67" s="61" t="n"/>
      <c r="AO67" s="61" t="n"/>
      <c r="AP67" s="60" t="n">
        <v>0.25</v>
      </c>
      <c r="AQ67" s="61" t="inlineStr">
        <is>
          <t>Bathri</t>
        </is>
      </c>
      <c r="AR67" s="19" t="n"/>
      <c r="AS67" s="19" t="n"/>
      <c r="AT67" s="61" t="n"/>
      <c r="AU67" s="61" t="n"/>
      <c r="AV67" s="60" t="n">
        <v>0.25</v>
      </c>
      <c r="AW67" s="61" t="inlineStr">
        <is>
          <t>Bathri</t>
        </is>
      </c>
      <c r="AX67" s="61" t="n"/>
      <c r="AY67" s="61" t="n"/>
      <c r="AZ67" s="61" t="n"/>
      <c r="BA67" s="61" t="n"/>
      <c r="BB67" s="61" t="n"/>
      <c r="BC67" s="61" t="n"/>
      <c r="BD67" s="60" t="n">
        <v>0.25</v>
      </c>
      <c r="BE67" s="61" t="inlineStr">
        <is>
          <t>Bathri</t>
        </is>
      </c>
      <c r="BF67" s="19" t="n"/>
      <c r="BG67" s="19" t="n"/>
      <c r="BH67" s="61" t="n"/>
      <c r="BI67" s="61" t="n"/>
      <c r="BJ67" s="60" t="n">
        <v>0.25</v>
      </c>
      <c r="BK67" s="61" t="inlineStr">
        <is>
          <t>Bathri</t>
        </is>
      </c>
      <c r="BL67" s="61" t="n"/>
      <c r="BM67" s="61" t="n"/>
      <c r="BN67" s="61" t="n"/>
      <c r="BO67" s="61" t="n"/>
      <c r="BP67" s="61" t="n"/>
      <c r="BQ67" s="61" t="n"/>
      <c r="BR67" s="61" t="n"/>
      <c r="BS67" s="61" t="n"/>
      <c r="BT67" s="16" t="n"/>
      <c r="BU67" s="61">
        <f>MIN(G67,12)</f>
        <v/>
      </c>
      <c r="BV67" s="61">
        <f>COUNT(J67:W67)</f>
        <v/>
      </c>
      <c r="BW67" s="61">
        <f>COUNT(X67:AK67)</f>
        <v/>
      </c>
      <c r="BX67" s="61">
        <f>COUNT(AL67:AY67)</f>
        <v/>
      </c>
      <c r="BY67" s="61">
        <f>COUNT(AZ67:BS67)</f>
        <v/>
      </c>
      <c r="BZ67" s="61">
        <f>IF(AND(H67=$BU67,BV67&gt;=INT($BU67/4),BV67&lt;=INT($BU67/4)+IF(MOD($BU67,4)&gt;0,1,0),BW67&gt;=INT($BU67/4),BW67&lt;=INT($BU67/4)+IF(MOD($BU67,4)&gt;0,1,0),BX67&gt;=INT($BU67/4),BX67&lt;=INT($BU67/4)+IF(MOD($BU67,4)&gt;0,1,0),BY67&gt;=INT($BU67/4),BY67&lt;=INT($BU67/4)+IF(MOD($BU67,4)&gt;0,1,0)),"OK","CHECK")</f>
        <v/>
      </c>
    </row>
    <row r="68" ht="15" customHeight="1">
      <c r="A68" s="16" t="inlineStr">
        <is>
          <t>Magizh</t>
        </is>
      </c>
      <c r="B68" s="16" t="inlineStr">
        <is>
          <t>MKS00213</t>
        </is>
      </c>
      <c r="C68" s="16" t="n">
        <v>0.4</v>
      </c>
      <c r="D68" s="16" t="inlineStr">
        <is>
          <t>Basic</t>
        </is>
      </c>
      <c r="E68" s="16" t="inlineStr">
        <is>
          <t>I Basic1</t>
        </is>
      </c>
      <c r="F68" s="16" t="n"/>
      <c r="G68" s="61" t="n">
        <v>8</v>
      </c>
      <c r="H68" s="61">
        <f>COUNT(J68:BS68)</f>
        <v/>
      </c>
      <c r="I68" s="63">
        <f>G68-H68</f>
        <v/>
      </c>
      <c r="J68" s="61" t="n"/>
      <c r="K68" s="61" t="n"/>
      <c r="L68" s="52" t="n">
        <v>0.4583333333333333</v>
      </c>
      <c r="M68" s="61" t="inlineStr">
        <is>
          <t>Bathri</t>
        </is>
      </c>
      <c r="N68" s="61" t="n"/>
      <c r="O68" s="61" t="n"/>
      <c r="P68" s="19" t="n"/>
      <c r="Q68" s="19" t="n"/>
      <c r="R68" s="61" t="n"/>
      <c r="S68" s="61" t="n"/>
      <c r="T68" s="60" t="n">
        <v>0.4583333333333333</v>
      </c>
      <c r="U68" s="61" t="inlineStr">
        <is>
          <t>Bathri</t>
        </is>
      </c>
      <c r="V68" s="61" t="n"/>
      <c r="W68" s="61" t="n"/>
      <c r="X68" s="61" t="n"/>
      <c r="Y68" s="61" t="n"/>
      <c r="Z68" s="60" t="n">
        <v>0.4583333333333333</v>
      </c>
      <c r="AA68" s="61" t="inlineStr">
        <is>
          <t>Bathri</t>
        </is>
      </c>
      <c r="AB68" s="61" t="n"/>
      <c r="AC68" s="61" t="n"/>
      <c r="AD68" s="19" t="n"/>
      <c r="AE68" s="19" t="n"/>
      <c r="AF68" s="61" t="n"/>
      <c r="AG68" s="61" t="n"/>
      <c r="AH68" s="60" t="n">
        <v>0.4583333333333333</v>
      </c>
      <c r="AI68" s="61" t="inlineStr">
        <is>
          <t>Bathri</t>
        </is>
      </c>
      <c r="AJ68" s="61" t="n"/>
      <c r="AK68" s="61" t="n"/>
      <c r="AL68" s="61" t="n"/>
      <c r="AM68" s="61" t="n"/>
      <c r="AN68" s="60" t="n">
        <v>0.4583333333333333</v>
      </c>
      <c r="AO68" s="61" t="inlineStr">
        <is>
          <t>Bathri</t>
        </is>
      </c>
      <c r="AP68" s="61" t="n"/>
      <c r="AQ68" s="61" t="n"/>
      <c r="AR68" s="19" t="n"/>
      <c r="AS68" s="19" t="n"/>
      <c r="AT68" s="61" t="n"/>
      <c r="AU68" s="61" t="n"/>
      <c r="AV68" s="60" t="n">
        <v>0.4583333333333333</v>
      </c>
      <c r="AW68" s="61" t="inlineStr">
        <is>
          <t>Bathri</t>
        </is>
      </c>
      <c r="AX68" s="61" t="n"/>
      <c r="AY68" s="61" t="n"/>
      <c r="AZ68" s="61" t="n"/>
      <c r="BA68" s="61" t="n"/>
      <c r="BB68" s="60" t="n">
        <v>0.4583333333333333</v>
      </c>
      <c r="BC68" s="61" t="inlineStr">
        <is>
          <t>Bathri</t>
        </is>
      </c>
      <c r="BD68" s="61" t="n"/>
      <c r="BE68" s="61" t="n"/>
      <c r="BF68" s="19" t="n"/>
      <c r="BG68" s="19" t="n"/>
      <c r="BH68" s="61" t="n"/>
      <c r="BI68" s="61" t="n"/>
      <c r="BJ68" s="61" t="n"/>
      <c r="BK68" s="61" t="n"/>
      <c r="BL68" s="61" t="n"/>
      <c r="BM68" s="61" t="n"/>
      <c r="BN68" s="61" t="n"/>
      <c r="BO68" s="61" t="n"/>
      <c r="BP68" s="60" t="n">
        <v>0.4583333333333333</v>
      </c>
      <c r="BQ68" s="61" t="inlineStr">
        <is>
          <t>Bathri</t>
        </is>
      </c>
      <c r="BR68" s="61" t="n"/>
      <c r="BS68" s="61" t="n"/>
      <c r="BT68" s="16" t="n"/>
      <c r="BU68" s="61">
        <f>MIN(G68,12)</f>
        <v/>
      </c>
      <c r="BV68" s="61">
        <f>COUNT(J68:W68)</f>
        <v/>
      </c>
      <c r="BW68" s="61">
        <f>COUNT(X68:AK68)</f>
        <v/>
      </c>
      <c r="BX68" s="61">
        <f>COUNT(AL68:AY68)</f>
        <v/>
      </c>
      <c r="BY68" s="61">
        <f>COUNT(AZ68:BS68)</f>
        <v/>
      </c>
      <c r="BZ68" s="61">
        <f>IF(AND(H68=$BU68,BV68&gt;=INT($BU68/4),BV68&lt;=INT($BU68/4)+IF(MOD($BU68,4)&gt;0,1,0),BW68&gt;=INT($BU68/4),BW68&lt;=INT($BU68/4)+IF(MOD($BU68,4)&gt;0,1,0),BX68&gt;=INT($BU68/4),BX68&lt;=INT($BU68/4)+IF(MOD($BU68,4)&gt;0,1,0),BY68&gt;=INT($BU68/4),BY68&lt;=INT($BU68/4)+IF(MOD($BU68,4)&gt;0,1,0)),"OK","CHECK")</f>
        <v/>
      </c>
    </row>
    <row r="69" ht="15" customHeight="1">
      <c r="A69" s="16" t="inlineStr">
        <is>
          <t>P.V Subhiksha</t>
        </is>
      </c>
      <c r="B69" s="16" t="inlineStr">
        <is>
          <t>MKS00150</t>
        </is>
      </c>
      <c r="C69" s="16" t="n">
        <v>3.3</v>
      </c>
      <c r="D69" s="16" t="inlineStr">
        <is>
          <t>Beginner</t>
        </is>
      </c>
      <c r="E69" s="16" t="inlineStr">
        <is>
          <t>I Beginner1</t>
        </is>
      </c>
      <c r="F69" s="16" t="n"/>
      <c r="G69" s="61" t="n">
        <v>10</v>
      </c>
      <c r="H69" s="61">
        <f>COUNT(J69:BS69)</f>
        <v/>
      </c>
      <c r="I69" s="63">
        <f>G69-H69</f>
        <v/>
      </c>
      <c r="J69" s="60" t="n">
        <v>0.7083333333333334</v>
      </c>
      <c r="K69" s="61" t="inlineStr">
        <is>
          <t>Dhaanush</t>
        </is>
      </c>
      <c r="L69" s="60" t="n">
        <v>0.7083333333333334</v>
      </c>
      <c r="M69" s="61" t="inlineStr">
        <is>
          <t>Dhaanush</t>
        </is>
      </c>
      <c r="N69" s="61" t="n"/>
      <c r="O69" s="61" t="n"/>
      <c r="P69" s="19" t="n"/>
      <c r="Q69" s="19" t="n"/>
      <c r="R69" s="61" t="n"/>
      <c r="S69" s="61" t="n"/>
      <c r="T69" s="60" t="n">
        <v>0.7083333333333334</v>
      </c>
      <c r="U69" s="61" t="inlineStr">
        <is>
          <t>Dhaanush</t>
        </is>
      </c>
      <c r="V69" s="61" t="n"/>
      <c r="W69" s="61" t="n"/>
      <c r="X69" s="61" t="n"/>
      <c r="Y69" s="61" t="n"/>
      <c r="Z69" s="60" t="n">
        <v>0.7083333333333334</v>
      </c>
      <c r="AA69" s="61" t="inlineStr">
        <is>
          <t>Dhaanush</t>
        </is>
      </c>
      <c r="AB69" s="61" t="n"/>
      <c r="AC69" s="61" t="n"/>
      <c r="AD69" s="19" t="n"/>
      <c r="AE69" s="19" t="n"/>
      <c r="AF69" s="61" t="n"/>
      <c r="AG69" s="61" t="n"/>
      <c r="AH69" s="60" t="n">
        <v>0.7083333333333334</v>
      </c>
      <c r="AI69" s="61" t="inlineStr">
        <is>
          <t>Dhaanush</t>
        </is>
      </c>
      <c r="AJ69" s="61" t="n"/>
      <c r="AK69" s="61" t="n"/>
      <c r="AL69" s="60" t="n">
        <v>0.7083333333333334</v>
      </c>
      <c r="AM69" s="61" t="inlineStr">
        <is>
          <t>Dhaanush</t>
        </is>
      </c>
      <c r="AN69" s="60" t="n">
        <v>0.7083333333333334</v>
      </c>
      <c r="AO69" s="61" t="inlineStr">
        <is>
          <t>Dhaanush</t>
        </is>
      </c>
      <c r="AP69" s="61" t="n"/>
      <c r="AQ69" s="61" t="n"/>
      <c r="AR69" s="19" t="n"/>
      <c r="AS69" s="19" t="n"/>
      <c r="AT69" s="61" t="n"/>
      <c r="AU69" s="61" t="n"/>
      <c r="AV69" s="61" t="n"/>
      <c r="AW69" s="61" t="n"/>
      <c r="AX69" s="61" t="n"/>
      <c r="AY69" s="61" t="n"/>
      <c r="AZ69" s="60" t="n">
        <v>0.7083333333333334</v>
      </c>
      <c r="BA69" s="61" t="inlineStr">
        <is>
          <t>Dhaanush</t>
        </is>
      </c>
      <c r="BB69" s="61" t="n"/>
      <c r="BC69" s="61" t="n"/>
      <c r="BD69" s="61" t="n"/>
      <c r="BE69" s="61" t="n"/>
      <c r="BF69" s="19" t="n"/>
      <c r="BG69" s="19" t="n"/>
      <c r="BH69" s="61" t="n"/>
      <c r="BI69" s="61" t="n"/>
      <c r="BJ69" s="61" t="n"/>
      <c r="BK69" s="61" t="n"/>
      <c r="BL69" s="61" t="n"/>
      <c r="BM69" s="61" t="n"/>
      <c r="BN69" s="60" t="n">
        <v>0.7083333333333334</v>
      </c>
      <c r="BO69" s="61" t="inlineStr">
        <is>
          <t>Dhaanush</t>
        </is>
      </c>
      <c r="BP69" s="60" t="n">
        <v>0.7083333333333334</v>
      </c>
      <c r="BQ69" s="61" t="inlineStr">
        <is>
          <t>Dhaanush</t>
        </is>
      </c>
      <c r="BR69" s="61" t="n"/>
      <c r="BS69" s="61" t="n"/>
      <c r="BT69" s="16" t="n"/>
      <c r="BU69" s="61">
        <f>MIN(G69,12)</f>
        <v/>
      </c>
      <c r="BV69" s="61">
        <f>COUNT(J69:W69)</f>
        <v/>
      </c>
      <c r="BW69" s="61">
        <f>COUNT(X69:AK69)</f>
        <v/>
      </c>
      <c r="BX69" s="61">
        <f>COUNT(AL69:AY69)</f>
        <v/>
      </c>
      <c r="BY69" s="61">
        <f>COUNT(AZ69:BS69)</f>
        <v/>
      </c>
      <c r="BZ69" s="61">
        <f>IF(AND(H69=$BU69,BV69&gt;=INT($BU69/4),BV69&lt;=INT($BU69/4)+IF(MOD($BU69,4)&gt;0,1,0),BW69&gt;=INT($BU69/4),BW69&lt;=INT($BU69/4)+IF(MOD($BU69,4)&gt;0,1,0),BX69&gt;=INT($BU69/4),BX69&lt;=INT($BU69/4)+IF(MOD($BU69,4)&gt;0,1,0),BY69&gt;=INT($BU69/4),BY69&lt;=INT($BU69/4)+IF(MOD($BU69,4)&gt;0,1,0)),"OK","CHECK")</f>
        <v/>
      </c>
    </row>
    <row r="70" ht="15" customHeight="1">
      <c r="A70" s="16" t="inlineStr">
        <is>
          <t>Thivya</t>
        </is>
      </c>
      <c r="B70" s="16" t="inlineStr">
        <is>
          <t>MKS00056</t>
        </is>
      </c>
      <c r="C70" s="16" t="n">
        <v>6.2</v>
      </c>
      <c r="D70" s="16" t="inlineStr">
        <is>
          <t>Early Intermediate</t>
        </is>
      </c>
      <c r="E70" s="16" t="inlineStr">
        <is>
          <t>L Early Intermediate2</t>
        </is>
      </c>
      <c r="F70" s="16" t="n"/>
      <c r="G70" s="61" t="n">
        <v>12</v>
      </c>
      <c r="H70" s="61">
        <f>COUNT(J70:BS70)</f>
        <v/>
      </c>
      <c r="I70" s="63">
        <f>G70-H70</f>
        <v/>
      </c>
      <c r="J70" s="61" t="n"/>
      <c r="K70" s="61" t="n"/>
      <c r="L70" s="61" t="n"/>
      <c r="M70" s="61" t="n"/>
      <c r="N70" s="60" t="n">
        <v>0.75</v>
      </c>
      <c r="O70" s="61" t="inlineStr">
        <is>
          <t>Dhaanush</t>
        </is>
      </c>
      <c r="P70" s="32" t="n">
        <v>0.4166666666666667</v>
      </c>
      <c r="Q70" s="19" t="inlineStr">
        <is>
          <t>Dhaanush</t>
        </is>
      </c>
      <c r="R70" s="61" t="n"/>
      <c r="S70" s="61" t="n"/>
      <c r="T70" s="60" t="n">
        <v>0.75</v>
      </c>
      <c r="U70" s="61" t="inlineStr">
        <is>
          <t>Dhaanush</t>
        </is>
      </c>
      <c r="V70" s="61" t="n"/>
      <c r="W70" s="61" t="n"/>
      <c r="X70" s="61" t="n"/>
      <c r="Y70" s="61" t="n"/>
      <c r="Z70" s="61" t="n"/>
      <c r="AA70" s="61" t="n"/>
      <c r="AB70" s="60" t="n">
        <v>0.75</v>
      </c>
      <c r="AC70" s="61" t="inlineStr">
        <is>
          <t>Dhaanush</t>
        </is>
      </c>
      <c r="AD70" s="32" t="n">
        <v>0.4166666666666667</v>
      </c>
      <c r="AE70" s="19" t="inlineStr">
        <is>
          <t>Dhaanush</t>
        </is>
      </c>
      <c r="AF70" s="61" t="n"/>
      <c r="AG70" s="61" t="n"/>
      <c r="AH70" s="60" t="n">
        <v>0.75</v>
      </c>
      <c r="AI70" s="61" t="inlineStr">
        <is>
          <t>Dhaanush</t>
        </is>
      </c>
      <c r="AJ70" s="61" t="n"/>
      <c r="AK70" s="61" t="n"/>
      <c r="AL70" s="61" t="n"/>
      <c r="AM70" s="61" t="n"/>
      <c r="AN70" s="61" t="n"/>
      <c r="AO70" s="61" t="n"/>
      <c r="AP70" s="60" t="n">
        <v>0.75</v>
      </c>
      <c r="AQ70" s="61" t="inlineStr">
        <is>
          <t>Dhaanush</t>
        </is>
      </c>
      <c r="AR70" s="32" t="n">
        <v>0.4166666666666667</v>
      </c>
      <c r="AS70" s="19" t="inlineStr">
        <is>
          <t>Dhaanush</t>
        </is>
      </c>
      <c r="AT70" s="61" t="n"/>
      <c r="AU70" s="61" t="n"/>
      <c r="AV70" s="60" t="n">
        <v>0.75</v>
      </c>
      <c r="AW70" s="61" t="inlineStr">
        <is>
          <t>Dhaanush</t>
        </is>
      </c>
      <c r="AX70" s="61" t="n"/>
      <c r="AY70" s="61" t="n"/>
      <c r="AZ70" s="61" t="n"/>
      <c r="BA70" s="61" t="n"/>
      <c r="BB70" s="61" t="n"/>
      <c r="BC70" s="61" t="n"/>
      <c r="BD70" s="61" t="n"/>
      <c r="BE70" s="61" t="n"/>
      <c r="BF70" s="32" t="n">
        <v>0.4166666666666667</v>
      </c>
      <c r="BG70" s="19" t="inlineStr">
        <is>
          <t>Dhaanush</t>
        </is>
      </c>
      <c r="BH70" s="61" t="n"/>
      <c r="BI70" s="61" t="n"/>
      <c r="BJ70" s="60" t="n">
        <v>0.75</v>
      </c>
      <c r="BK70" s="61" t="inlineStr">
        <is>
          <t>Dhaanush</t>
        </is>
      </c>
      <c r="BL70" s="61" t="n"/>
      <c r="BM70" s="61" t="n"/>
      <c r="BN70" s="61" t="n"/>
      <c r="BO70" s="61" t="n"/>
      <c r="BP70" s="61" t="n"/>
      <c r="BQ70" s="61" t="n"/>
      <c r="BR70" s="60" t="n">
        <v>0.75</v>
      </c>
      <c r="BS70" s="61" t="inlineStr">
        <is>
          <t>Dhaanush</t>
        </is>
      </c>
      <c r="BT70" s="16" t="n"/>
      <c r="BU70" s="61">
        <f>MIN(G70,12)</f>
        <v/>
      </c>
      <c r="BV70" s="61">
        <f>COUNT(J70:W70)</f>
        <v/>
      </c>
      <c r="BW70" s="61">
        <f>COUNT(X70:AK70)</f>
        <v/>
      </c>
      <c r="BX70" s="61">
        <f>COUNT(AL70:AY70)</f>
        <v/>
      </c>
      <c r="BY70" s="61">
        <f>COUNT(AZ70:BS70)</f>
        <v/>
      </c>
      <c r="BZ70" s="61">
        <f>IF(AND(H70=$BU70,BV70&gt;=INT($BU70/4),BV70&lt;=INT($BU70/4)+IF(MOD($BU70,4)&gt;0,1,0),BW70&gt;=INT($BU70/4),BW70&lt;=INT($BU70/4)+IF(MOD($BU70,4)&gt;0,1,0),BX70&gt;=INT($BU70/4),BX70&lt;=INT($BU70/4)+IF(MOD($BU70,4)&gt;0,1,0),BY70&gt;=INT($BU70/4),BY70&lt;=INT($BU70/4)+IF(MOD($BU70,4)&gt;0,1,0)),"OK","CHECK")</f>
        <v/>
      </c>
    </row>
    <row r="71" ht="15" customHeight="1">
      <c r="A71" s="16" t="inlineStr">
        <is>
          <t>Reyhan nawaz</t>
        </is>
      </c>
      <c r="B71" s="16" t="inlineStr">
        <is>
          <t>MKS00049</t>
        </is>
      </c>
      <c r="C71" s="16" t="n">
        <v>5.6</v>
      </c>
      <c r="D71" s="16" t="inlineStr">
        <is>
          <t>Early Intermediate</t>
        </is>
      </c>
      <c r="E71" s="16" t="inlineStr">
        <is>
          <t>L Early Intermediate2</t>
        </is>
      </c>
      <c r="F71" s="16" t="n"/>
      <c r="G71" s="61" t="n">
        <v>12</v>
      </c>
      <c r="H71" s="61">
        <f>COUNT(J71:BS71)</f>
        <v/>
      </c>
      <c r="I71" s="63">
        <f>G71-H71</f>
        <v/>
      </c>
      <c r="J71" s="61" t="n"/>
      <c r="K71" s="61" t="n"/>
      <c r="L71" s="61" t="n"/>
      <c r="M71" s="61" t="n"/>
      <c r="N71" s="60" t="n">
        <v>0.75</v>
      </c>
      <c r="O71" s="61" t="inlineStr">
        <is>
          <t>Dhaanush</t>
        </is>
      </c>
      <c r="P71" s="32" t="n">
        <v>0.4166666666666667</v>
      </c>
      <c r="Q71" s="19" t="inlineStr">
        <is>
          <t>Dhaanush</t>
        </is>
      </c>
      <c r="R71" s="61" t="n"/>
      <c r="S71" s="61" t="n"/>
      <c r="T71" s="60" t="n">
        <v>0.75</v>
      </c>
      <c r="U71" s="61" t="inlineStr">
        <is>
          <t>Dhaanush</t>
        </is>
      </c>
      <c r="V71" s="61" t="n"/>
      <c r="W71" s="61" t="n"/>
      <c r="X71" s="61" t="n"/>
      <c r="Y71" s="61" t="n"/>
      <c r="Z71" s="61" t="n"/>
      <c r="AA71" s="61" t="n"/>
      <c r="AB71" s="60" t="n">
        <v>0.75</v>
      </c>
      <c r="AC71" s="61" t="inlineStr">
        <is>
          <t>Dhaanush</t>
        </is>
      </c>
      <c r="AD71" s="32" t="n">
        <v>0.4166666666666667</v>
      </c>
      <c r="AE71" s="19" t="inlineStr">
        <is>
          <t>Dhaanush</t>
        </is>
      </c>
      <c r="AF71" s="61" t="n"/>
      <c r="AG71" s="61" t="n"/>
      <c r="AH71" s="60" t="n">
        <v>0.75</v>
      </c>
      <c r="AI71" s="61" t="inlineStr">
        <is>
          <t>Dhaanush</t>
        </is>
      </c>
      <c r="AJ71" s="61" t="n"/>
      <c r="AK71" s="61" t="n"/>
      <c r="AL71" s="61" t="n"/>
      <c r="AM71" s="61" t="n"/>
      <c r="AN71" s="61" t="n"/>
      <c r="AO71" s="61" t="n"/>
      <c r="AP71" s="60" t="n">
        <v>0.75</v>
      </c>
      <c r="AQ71" s="61" t="inlineStr">
        <is>
          <t>Dhaanush</t>
        </is>
      </c>
      <c r="AR71" s="32" t="n">
        <v>0.4166666666666667</v>
      </c>
      <c r="AS71" s="19" t="inlineStr">
        <is>
          <t>Dhaanush</t>
        </is>
      </c>
      <c r="AT71" s="61" t="n"/>
      <c r="AU71" s="61" t="n"/>
      <c r="AV71" s="60" t="n">
        <v>0.75</v>
      </c>
      <c r="AW71" s="61" t="inlineStr">
        <is>
          <t>Dhaanush</t>
        </is>
      </c>
      <c r="AX71" s="61" t="n"/>
      <c r="AY71" s="61" t="n"/>
      <c r="AZ71" s="61" t="n"/>
      <c r="BA71" s="61" t="n"/>
      <c r="BB71" s="61" t="n"/>
      <c r="BC71" s="61" t="n"/>
      <c r="BD71" s="61" t="n"/>
      <c r="BE71" s="61" t="n"/>
      <c r="BF71" s="32" t="n">
        <v>0.4166666666666667</v>
      </c>
      <c r="BG71" s="19" t="inlineStr">
        <is>
          <t>Dhaanush</t>
        </is>
      </c>
      <c r="BH71" s="61" t="n"/>
      <c r="BI71" s="61" t="n"/>
      <c r="BJ71" s="60" t="n">
        <v>0.75</v>
      </c>
      <c r="BK71" s="61" t="inlineStr">
        <is>
          <t>Dhaanush</t>
        </is>
      </c>
      <c r="BL71" s="61" t="n"/>
      <c r="BM71" s="61" t="n"/>
      <c r="BN71" s="61" t="n"/>
      <c r="BO71" s="61" t="n"/>
      <c r="BP71" s="61" t="n"/>
      <c r="BQ71" s="61" t="n"/>
      <c r="BR71" s="60" t="n">
        <v>0.75</v>
      </c>
      <c r="BS71" s="61" t="inlineStr">
        <is>
          <t>Dhaanush</t>
        </is>
      </c>
      <c r="BT71" s="16" t="n"/>
      <c r="BU71" s="61">
        <f>MIN(G71,12)</f>
        <v/>
      </c>
      <c r="BV71" s="61">
        <f>COUNT(J71:W71)</f>
        <v/>
      </c>
      <c r="BW71" s="61">
        <f>COUNT(X71:AK71)</f>
        <v/>
      </c>
      <c r="BX71" s="61">
        <f>COUNT(AL71:AY71)</f>
        <v/>
      </c>
      <c r="BY71" s="61">
        <f>COUNT(AZ71:BS71)</f>
        <v/>
      </c>
      <c r="BZ71" s="61">
        <f>IF(AND(H71=$BU71,BV71&gt;=INT($BU71/4),BV71&lt;=INT($BU71/4)+IF(MOD($BU71,4)&gt;0,1,0),BW71&gt;=INT($BU71/4),BW71&lt;=INT($BU71/4)+IF(MOD($BU71,4)&gt;0,1,0),BX71&gt;=INT($BU71/4),BX71&lt;=INT($BU71/4)+IF(MOD($BU71,4)&gt;0,1,0),BY71&gt;=INT($BU71/4),BY71&lt;=INT($BU71/4)+IF(MOD($BU71,4)&gt;0,1,0)),"OK","CHECK")</f>
        <v/>
      </c>
    </row>
    <row r="72" ht="15" customHeight="1">
      <c r="A72" s="16" t="inlineStr">
        <is>
          <t>B.AARAV NARAYAN</t>
        </is>
      </c>
      <c r="B72" s="16" t="inlineStr">
        <is>
          <t>MKS00098</t>
        </is>
      </c>
      <c r="C72" s="16" t="n">
        <v>4.5</v>
      </c>
      <c r="D72" s="16" t="inlineStr">
        <is>
          <t>Early Intermediate</t>
        </is>
      </c>
      <c r="E72" s="16" t="inlineStr">
        <is>
          <t>L Early Intrmediate1</t>
        </is>
      </c>
      <c r="F72" s="16" t="inlineStr">
        <is>
          <t>madhesh &amp; Aarav only available in evening</t>
        </is>
      </c>
      <c r="G72" s="61" t="n">
        <v>12</v>
      </c>
      <c r="H72" s="61">
        <f>COUNT(J72:BS72)</f>
        <v/>
      </c>
      <c r="I72" s="63">
        <f>G72-H72</f>
        <v/>
      </c>
      <c r="J72" s="61" t="n"/>
      <c r="K72" s="61" t="n"/>
      <c r="L72" s="61" t="n"/>
      <c r="M72" s="61" t="n"/>
      <c r="N72" s="61" t="n"/>
      <c r="O72" s="61" t="n"/>
      <c r="P72" s="32" t="n">
        <v>0.4166666666666667</v>
      </c>
      <c r="Q72" s="19" t="inlineStr">
        <is>
          <t>Abinaya</t>
        </is>
      </c>
      <c r="R72" s="22" t="n">
        <v>0.7916666666666666</v>
      </c>
      <c r="S72" s="23" t="inlineStr">
        <is>
          <t>Prakash</t>
        </is>
      </c>
      <c r="T72" s="60" t="n">
        <v>0.7916666666666666</v>
      </c>
      <c r="U72" s="61" t="inlineStr">
        <is>
          <t>Prakash</t>
        </is>
      </c>
      <c r="V72" s="61" t="n"/>
      <c r="W72" s="61" t="n"/>
      <c r="X72" s="61" t="n"/>
      <c r="Y72" s="61" t="n"/>
      <c r="Z72" s="61" t="n"/>
      <c r="AA72" s="61" t="n"/>
      <c r="AB72" s="61" t="n"/>
      <c r="AC72" s="61" t="n"/>
      <c r="AD72" s="32" t="n">
        <v>0.4166666666666667</v>
      </c>
      <c r="AE72" s="19" t="inlineStr">
        <is>
          <t>Abinaya</t>
        </is>
      </c>
      <c r="AF72" s="22" t="n">
        <v>0.7916666666666666</v>
      </c>
      <c r="AG72" s="23" t="inlineStr">
        <is>
          <t>Prakash</t>
        </is>
      </c>
      <c r="AH72" s="60" t="n">
        <v>0.7916666666666666</v>
      </c>
      <c r="AI72" s="61" t="inlineStr">
        <is>
          <t>Prakash</t>
        </is>
      </c>
      <c r="AJ72" s="61" t="n"/>
      <c r="AK72" s="61" t="n"/>
      <c r="AL72" s="61" t="n"/>
      <c r="AM72" s="61" t="n"/>
      <c r="AN72" s="61" t="n"/>
      <c r="AO72" s="61" t="n"/>
      <c r="AP72" s="61" t="n"/>
      <c r="AQ72" s="61" t="n"/>
      <c r="AR72" s="32" t="n">
        <v>0.4166666666666667</v>
      </c>
      <c r="AS72" s="19" t="inlineStr">
        <is>
          <t>Abinaya</t>
        </is>
      </c>
      <c r="AT72" s="22" t="n">
        <v>0.7916666666666666</v>
      </c>
      <c r="AU72" s="23" t="inlineStr">
        <is>
          <t>Prakash</t>
        </is>
      </c>
      <c r="AV72" s="60" t="n">
        <v>0.7916666666666666</v>
      </c>
      <c r="AW72" s="61" t="inlineStr">
        <is>
          <t>Prakash</t>
        </is>
      </c>
      <c r="AX72" s="61" t="n"/>
      <c r="AY72" s="61" t="n"/>
      <c r="AZ72" s="60" t="n"/>
      <c r="BA72" s="61" t="n"/>
      <c r="BB72" s="61" t="n"/>
      <c r="BC72" s="61" t="n"/>
      <c r="BD72" s="61" t="n"/>
      <c r="BE72" s="61" t="n"/>
      <c r="BF72" s="32" t="n">
        <v>0.4166666666666667</v>
      </c>
      <c r="BG72" s="19" t="inlineStr">
        <is>
          <t>Abinaya</t>
        </is>
      </c>
      <c r="BH72" s="83" t="n">
        <v>0.7916666666666666</v>
      </c>
      <c r="BI72" s="84" t="inlineStr">
        <is>
          <t>Prakash</t>
        </is>
      </c>
      <c r="BJ72" s="60" t="n">
        <v>0.7916666666666666</v>
      </c>
      <c r="BK72" s="61" t="inlineStr">
        <is>
          <t>Prakash</t>
        </is>
      </c>
      <c r="BL72" s="61" t="n"/>
      <c r="BM72" s="61" t="n"/>
      <c r="BN72" s="61" t="n"/>
      <c r="BO72" s="61" t="n"/>
      <c r="BP72" s="61" t="n"/>
      <c r="BQ72" s="61" t="n"/>
      <c r="BR72" s="61" t="n"/>
      <c r="BS72" s="61" t="n"/>
      <c r="BT72" s="16" t="n"/>
      <c r="BU72" s="61">
        <f>MIN(G72,12)</f>
        <v/>
      </c>
      <c r="BV72" s="61">
        <f>COUNT(J72:W72)</f>
        <v/>
      </c>
      <c r="BW72" s="61">
        <f>COUNT(X72:AK72)</f>
        <v/>
      </c>
      <c r="BX72" s="61">
        <f>COUNT(AL72:AY72)</f>
        <v/>
      </c>
      <c r="BY72" s="61">
        <f>COUNT(AZ72:BS72)</f>
        <v/>
      </c>
      <c r="BZ72" s="61">
        <f>IF(AND(H72=$BU72,BV72&gt;=INT($BU72/4),BV72&lt;=INT($BU72/4)+IF(MOD($BU72,4)&gt;0,1,0),BW72&gt;=INT($BU72/4),BW72&lt;=INT($BU72/4)+IF(MOD($BU72,4)&gt;0,1,0),BX72&gt;=INT($BU72/4),BX72&lt;=INT($BU72/4)+IF(MOD($BU72,4)&gt;0,1,0),BY72&gt;=INT($BU72/4),BY72&lt;=INT($BU72/4)+IF(MOD($BU72,4)&gt;0,1,0)),"OK","CHECK")</f>
        <v/>
      </c>
    </row>
    <row r="73" ht="15" customHeight="1">
      <c r="A73" s="16" t="inlineStr">
        <is>
          <t>B.SAI SRI</t>
        </is>
      </c>
      <c r="B73" s="16" t="inlineStr">
        <is>
          <t>MKS00211</t>
        </is>
      </c>
      <c r="C73" s="16" t="n">
        <v>1.1</v>
      </c>
      <c r="D73" s="16" t="inlineStr">
        <is>
          <t>Basic</t>
        </is>
      </c>
      <c r="E73" s="16" t="inlineStr">
        <is>
          <t>G Basic2</t>
        </is>
      </c>
      <c r="F73" s="16" t="inlineStr">
        <is>
          <t>Should check for Saturday monring classes</t>
        </is>
      </c>
      <c r="G73" s="61" t="n">
        <v>12</v>
      </c>
      <c r="H73" s="61">
        <f>COUNT(J73:BS73)</f>
        <v/>
      </c>
      <c r="I73" s="63">
        <f>G73-H73</f>
        <v/>
      </c>
      <c r="J73" s="61" t="n"/>
      <c r="K73" s="61" t="n"/>
      <c r="L73" s="61" t="n"/>
      <c r="M73" s="61" t="n"/>
      <c r="N73" s="22" t="n">
        <v>0.7083333333333334</v>
      </c>
      <c r="O73" s="23" t="inlineStr">
        <is>
          <t>Bathri</t>
        </is>
      </c>
      <c r="P73" s="32" t="n">
        <v>0.4583333333333333</v>
      </c>
      <c r="Q73" s="19" t="inlineStr">
        <is>
          <t>Abinaya</t>
        </is>
      </c>
      <c r="R73" s="61" t="n"/>
      <c r="S73" s="61" t="n"/>
      <c r="T73" s="83" t="n">
        <v>0.8333333333333334</v>
      </c>
      <c r="U73" s="84" t="inlineStr">
        <is>
          <t>Abinaya</t>
        </is>
      </c>
      <c r="V73" s="61" t="n"/>
      <c r="W73" s="61" t="n"/>
      <c r="X73" s="61" t="n"/>
      <c r="Y73" s="61" t="n"/>
      <c r="Z73" s="61" t="n"/>
      <c r="AA73" s="61" t="n"/>
      <c r="AB73" s="22" t="n">
        <v>0.7083333333333334</v>
      </c>
      <c r="AC73" s="23" t="inlineStr">
        <is>
          <t>Bathri</t>
        </is>
      </c>
      <c r="AD73" s="32" t="n">
        <v>0.4583333333333333</v>
      </c>
      <c r="AE73" s="19" t="inlineStr">
        <is>
          <t>Abinaya</t>
        </is>
      </c>
      <c r="AF73" s="61" t="n"/>
      <c r="AG73" s="61" t="n"/>
      <c r="AH73" s="83" t="n">
        <v>0.8333333333333334</v>
      </c>
      <c r="AI73" s="84" t="inlineStr">
        <is>
          <t>Abinaya</t>
        </is>
      </c>
      <c r="AJ73" s="61" t="n"/>
      <c r="AK73" s="61" t="n"/>
      <c r="AL73" s="61" t="n"/>
      <c r="AM73" s="61" t="n"/>
      <c r="AN73" s="61" t="n"/>
      <c r="AO73" s="61" t="n"/>
      <c r="AP73" s="91" t="n">
        <v>0.7916666666666666</v>
      </c>
      <c r="AQ73" s="92" t="inlineStr">
        <is>
          <t>Abinaya</t>
        </is>
      </c>
      <c r="AR73" s="32" t="n">
        <v>0.4583333333333333</v>
      </c>
      <c r="AS73" s="19" t="inlineStr">
        <is>
          <t>Abinaya</t>
        </is>
      </c>
      <c r="AT73" s="61" t="n"/>
      <c r="AU73" s="61" t="n"/>
      <c r="AV73" s="61" t="n"/>
      <c r="AW73" s="61" t="n"/>
      <c r="AX73" s="83" t="n">
        <v>0.8333333333333334</v>
      </c>
      <c r="AY73" s="84" t="inlineStr">
        <is>
          <t>Abinaya</t>
        </is>
      </c>
      <c r="AZ73" s="61" t="n"/>
      <c r="BA73" s="61" t="n"/>
      <c r="BB73" s="61" t="n"/>
      <c r="BC73" s="61" t="n"/>
      <c r="BD73" s="60" t="n">
        <v>0.7916666666666666</v>
      </c>
      <c r="BE73" s="61" t="inlineStr">
        <is>
          <t>Abinaya</t>
        </is>
      </c>
      <c r="BF73" s="19" t="n"/>
      <c r="BG73" s="19" t="n"/>
      <c r="BH73" s="61" t="n"/>
      <c r="BI73" s="61" t="n"/>
      <c r="BJ73" s="60" t="n">
        <v>0.7916666666666666</v>
      </c>
      <c r="BK73" s="61" t="inlineStr">
        <is>
          <t>Abinaya</t>
        </is>
      </c>
      <c r="BL73" s="61" t="n"/>
      <c r="BM73" s="61" t="n"/>
      <c r="BN73" s="61" t="n"/>
      <c r="BO73" s="61" t="n"/>
      <c r="BP73" s="61" t="n"/>
      <c r="BQ73" s="61" t="n"/>
      <c r="BR73" s="60" t="n">
        <v>0.7916666666666666</v>
      </c>
      <c r="BS73" s="61" t="inlineStr">
        <is>
          <t>Abinaya</t>
        </is>
      </c>
      <c r="BT73" s="16" t="n"/>
      <c r="BU73" s="61">
        <f>MIN(G73,12)</f>
        <v/>
      </c>
      <c r="BV73" s="61">
        <f>COUNT(J73:W73)</f>
        <v/>
      </c>
      <c r="BW73" s="61">
        <f>COUNT(X73:AK73)</f>
        <v/>
      </c>
      <c r="BX73" s="61">
        <f>COUNT(AL73:AY73)</f>
        <v/>
      </c>
      <c r="BY73" s="61">
        <f>COUNT(AZ73:BS73)</f>
        <v/>
      </c>
      <c r="BZ73" s="61">
        <f>IF(AND(H73=$BU73,BV73&gt;=INT($BU73/4),BV73&lt;=INT($BU73/4)+IF(MOD($BU73,4)&gt;0,1,0),BW73&gt;=INT($BU73/4),BW73&lt;=INT($BU73/4)+IF(MOD($BU73,4)&gt;0,1,0),BX73&gt;=INT($BU73/4),BX73&lt;=INT($BU73/4)+IF(MOD($BU73,4)&gt;0,1,0),BY73&gt;=INT($BU73/4),BY73&lt;=INT($BU73/4)+IF(MOD($BU73,4)&gt;0,1,0)),"OK","CHECK")</f>
        <v/>
      </c>
    </row>
    <row r="74" ht="15" customHeight="1">
      <c r="A74" s="16" t="inlineStr">
        <is>
          <t>Sudharshika</t>
        </is>
      </c>
      <c r="B74" s="16" t="inlineStr">
        <is>
          <t>MKS00216</t>
        </is>
      </c>
      <c r="C74" s="16" t="n">
        <v>1.1</v>
      </c>
      <c r="D74" s="16" t="inlineStr">
        <is>
          <t>Basic</t>
        </is>
      </c>
      <c r="E74" s="16" t="inlineStr">
        <is>
          <t>G Basic2</t>
        </is>
      </c>
      <c r="F74" s="16" t="n"/>
      <c r="G74" s="61" t="n">
        <v>12</v>
      </c>
      <c r="H74" s="61">
        <f>COUNT(J74:BS74)</f>
        <v/>
      </c>
      <c r="I74" s="63">
        <f>G74-H74</f>
        <v/>
      </c>
      <c r="J74" s="61" t="n"/>
      <c r="K74" s="61" t="n"/>
      <c r="L74" s="61" t="n"/>
      <c r="M74" s="61" t="n"/>
      <c r="N74" s="60" t="n">
        <v>0.7916666666666666</v>
      </c>
      <c r="O74" s="61" t="inlineStr">
        <is>
          <t>Abinaya</t>
        </is>
      </c>
      <c r="P74" s="32" t="n">
        <v>0.4583333333333333</v>
      </c>
      <c r="Q74" s="19" t="inlineStr">
        <is>
          <t>Abinaya</t>
        </is>
      </c>
      <c r="R74" s="61" t="n"/>
      <c r="S74" s="61" t="n"/>
      <c r="T74" s="91" t="n">
        <v>0.7916666666666666</v>
      </c>
      <c r="U74" s="92" t="inlineStr">
        <is>
          <t>Abinaya</t>
        </is>
      </c>
      <c r="V74" s="61" t="n"/>
      <c r="W74" s="61" t="n"/>
      <c r="X74" s="61" t="n"/>
      <c r="Y74" s="61" t="n"/>
      <c r="Z74" s="91" t="n">
        <v>0.7916666666666666</v>
      </c>
      <c r="AA74" s="92" t="inlineStr">
        <is>
          <t>Abinaya</t>
        </is>
      </c>
      <c r="AB74" s="60" t="n">
        <v>0.7916666666666666</v>
      </c>
      <c r="AC74" s="61" t="inlineStr">
        <is>
          <t>Abinaya</t>
        </is>
      </c>
      <c r="AD74" s="32" t="n">
        <v>0.4583333333333333</v>
      </c>
      <c r="AE74" s="19" t="inlineStr">
        <is>
          <t>Abinaya</t>
        </is>
      </c>
      <c r="AF74" s="61" t="n"/>
      <c r="AG74" s="61" t="n"/>
      <c r="AH74" s="61" t="n"/>
      <c r="AI74" s="61" t="n"/>
      <c r="AJ74" s="61" t="n"/>
      <c r="AK74" s="61" t="n"/>
      <c r="AL74" s="61" t="n"/>
      <c r="AM74" s="61" t="n"/>
      <c r="AN74" s="61" t="n"/>
      <c r="AO74" s="61" t="n"/>
      <c r="AP74" s="91" t="n">
        <v>0.7916666666666666</v>
      </c>
      <c r="AQ74" s="92" t="inlineStr">
        <is>
          <t>Abinaya</t>
        </is>
      </c>
      <c r="AR74" s="32" t="n">
        <v>0.4583333333333333</v>
      </c>
      <c r="AS74" s="19" t="inlineStr">
        <is>
          <t>Abinaya</t>
        </is>
      </c>
      <c r="AT74" s="61" t="n"/>
      <c r="AU74" s="61" t="n"/>
      <c r="AV74" s="91" t="n">
        <v>0.7916666666666666</v>
      </c>
      <c r="AW74" s="92" t="inlineStr">
        <is>
          <t>Abinaya</t>
        </is>
      </c>
      <c r="AX74" s="61" t="n"/>
      <c r="AY74" s="61" t="n"/>
      <c r="AZ74" s="61" t="n"/>
      <c r="BA74" s="61" t="n"/>
      <c r="BB74" s="61" t="n"/>
      <c r="BC74" s="61" t="n"/>
      <c r="BD74" s="60" t="n">
        <v>0.7916666666666666</v>
      </c>
      <c r="BE74" s="61" t="inlineStr">
        <is>
          <t>Abinaya</t>
        </is>
      </c>
      <c r="BF74" s="19" t="n"/>
      <c r="BG74" s="19" t="n"/>
      <c r="BH74" s="61" t="n"/>
      <c r="BI74" s="61" t="n"/>
      <c r="BJ74" s="60" t="n">
        <v>0.7916666666666666</v>
      </c>
      <c r="BK74" s="61" t="inlineStr">
        <is>
          <t>Abinaya</t>
        </is>
      </c>
      <c r="BL74" s="61" t="n"/>
      <c r="BM74" s="61" t="n"/>
      <c r="BN74" s="61" t="n"/>
      <c r="BO74" s="61" t="n"/>
      <c r="BP74" s="61" t="n"/>
      <c r="BQ74" s="61" t="n"/>
      <c r="BR74" s="60" t="n">
        <v>0.7916666666666666</v>
      </c>
      <c r="BS74" s="61" t="inlineStr">
        <is>
          <t>Abinaya</t>
        </is>
      </c>
      <c r="BT74" s="16" t="n"/>
      <c r="BU74" s="61">
        <f>MIN(G74,12)</f>
        <v/>
      </c>
      <c r="BV74" s="61">
        <f>COUNT(J74:W74)</f>
        <v/>
      </c>
      <c r="BW74" s="61">
        <f>COUNT(X74:AK74)</f>
        <v/>
      </c>
      <c r="BX74" s="61">
        <f>COUNT(AL74:AY74)</f>
        <v/>
      </c>
      <c r="BY74" s="61">
        <f>COUNT(AZ74:BS74)</f>
        <v/>
      </c>
      <c r="BZ74" s="61">
        <f>IF(AND(H74=$BU74,BV74&gt;=INT($BU74/4),BV74&lt;=INT($BU74/4)+IF(MOD($BU74,4)&gt;0,1,0),BW74&gt;=INT($BU74/4),BW74&lt;=INT($BU74/4)+IF(MOD($BU74,4)&gt;0,1,0),BX74&gt;=INT($BU74/4),BX74&lt;=INT($BU74/4)+IF(MOD($BU74,4)&gt;0,1,0),BY74&gt;=INT($BU74/4),BY74&lt;=INT($BU74/4)+IF(MOD($BU74,4)&gt;0,1,0)),"OK","CHECK")</f>
        <v/>
      </c>
    </row>
    <row r="75" ht="15" customHeight="1">
      <c r="A75" s="33" t="inlineStr">
        <is>
          <t>Aaradheya P</t>
        </is>
      </c>
      <c r="B75" s="16" t="inlineStr">
        <is>
          <t>MKS00225</t>
        </is>
      </c>
      <c r="C75" s="16" t="n">
        <v>0.2</v>
      </c>
      <c r="D75" s="16" t="inlineStr">
        <is>
          <t>Basic</t>
        </is>
      </c>
      <c r="E75" s="16" t="inlineStr">
        <is>
          <t>G Basic1</t>
        </is>
      </c>
      <c r="F75" s="16" t="inlineStr">
        <is>
          <t>Should check for Saturday monring classes</t>
        </is>
      </c>
      <c r="G75" s="61" t="n">
        <v>12</v>
      </c>
      <c r="H75" s="61">
        <f>COUNT(J75:BS75)</f>
        <v/>
      </c>
      <c r="I75" s="63">
        <f>G75-H75</f>
        <v/>
      </c>
      <c r="J75" s="61" t="n"/>
      <c r="K75" s="61" t="n"/>
      <c r="L75" s="60" t="n">
        <v>0.7916666666666666</v>
      </c>
      <c r="M75" s="61" t="inlineStr">
        <is>
          <t>Abinaya</t>
        </is>
      </c>
      <c r="N75" s="22" t="n">
        <v>0.7083333333333334</v>
      </c>
      <c r="O75" s="23" t="inlineStr">
        <is>
          <t>Abinaya</t>
        </is>
      </c>
      <c r="P75" s="19" t="n"/>
      <c r="Q75" s="19" t="n"/>
      <c r="R75" s="61" t="n"/>
      <c r="S75" s="61" t="n"/>
      <c r="T75" s="60" t="n">
        <v>0.7916666666666666</v>
      </c>
      <c r="U75" s="61" t="inlineStr">
        <is>
          <t>Abinaya</t>
        </is>
      </c>
      <c r="V75" s="61" t="n"/>
      <c r="W75" s="61" t="n"/>
      <c r="X75" s="61" t="n"/>
      <c r="Y75" s="61" t="n"/>
      <c r="Z75" s="60" t="n">
        <v>0.7916666666666666</v>
      </c>
      <c r="AA75" s="61" t="inlineStr">
        <is>
          <t>Abinaya</t>
        </is>
      </c>
      <c r="AB75" s="22" t="n">
        <v>0.7083333333333334</v>
      </c>
      <c r="AC75" s="23" t="inlineStr">
        <is>
          <t>Abinaya</t>
        </is>
      </c>
      <c r="AD75" s="19" t="n"/>
      <c r="AE75" s="19" t="n"/>
      <c r="AF75" s="61" t="n"/>
      <c r="AG75" s="61" t="n"/>
      <c r="AH75" s="60" t="n">
        <v>0.7916666666666666</v>
      </c>
      <c r="AI75" s="61" t="inlineStr">
        <is>
          <t>Abinaya</t>
        </is>
      </c>
      <c r="AJ75" s="61" t="n"/>
      <c r="AK75" s="61" t="n"/>
      <c r="AL75" s="61" t="n"/>
      <c r="AM75" s="61" t="n"/>
      <c r="AN75" s="61" t="n"/>
      <c r="AO75" s="61" t="n"/>
      <c r="AP75" s="60" t="n">
        <v>0.7916666666666666</v>
      </c>
      <c r="AQ75" s="61" t="inlineStr">
        <is>
          <t>Abinaya</t>
        </is>
      </c>
      <c r="AR75" s="19" t="n"/>
      <c r="AS75" s="19" t="n"/>
      <c r="AT75" s="61" t="n"/>
      <c r="AU75" s="61" t="n"/>
      <c r="AV75" s="60" t="n">
        <v>0.7916666666666666</v>
      </c>
      <c r="AW75" s="61" t="inlineStr">
        <is>
          <t>Abinaya</t>
        </is>
      </c>
      <c r="AX75" s="60" t="n">
        <v>0.7916666666666666</v>
      </c>
      <c r="AY75" s="61" t="inlineStr">
        <is>
          <t>Abinaya</t>
        </is>
      </c>
      <c r="AZ75" s="61" t="n"/>
      <c r="BA75" s="61" t="n"/>
      <c r="BB75" s="60" t="n">
        <v>0.7916666666666666</v>
      </c>
      <c r="BC75" s="61" t="inlineStr">
        <is>
          <t>Abinaya</t>
        </is>
      </c>
      <c r="BD75" s="91" t="n">
        <v>0.7916666666666666</v>
      </c>
      <c r="BE75" s="92" t="inlineStr">
        <is>
          <t>Abinaya</t>
        </is>
      </c>
      <c r="BF75" s="19" t="n"/>
      <c r="BG75" s="19" t="n"/>
      <c r="BH75" s="83" t="n">
        <v>0.7916666666666666</v>
      </c>
      <c r="BI75" s="84" t="inlineStr">
        <is>
          <t>Abinaya</t>
        </is>
      </c>
      <c r="BJ75" s="61" t="n"/>
      <c r="BK75" s="61" t="n"/>
      <c r="BL75" s="61" t="n"/>
      <c r="BM75" s="61" t="n"/>
      <c r="BN75" s="61" t="n"/>
      <c r="BO75" s="61" t="n"/>
      <c r="BP75" s="61" t="n"/>
      <c r="BQ75" s="61" t="n"/>
      <c r="BR75" s="60" t="n"/>
      <c r="BS75" s="61" t="n"/>
      <c r="BT75" s="16" t="inlineStr">
        <is>
          <t>Newly assigned for Oct</t>
        </is>
      </c>
      <c r="BU75" s="61">
        <f>MIN(G75,12)</f>
        <v/>
      </c>
      <c r="BV75" s="61">
        <f>COUNT(J75:W75)</f>
        <v/>
      </c>
      <c r="BW75" s="61">
        <f>COUNT(X75:AK75)</f>
        <v/>
      </c>
      <c r="BX75" s="61">
        <f>COUNT(AL75:AY75)</f>
        <v/>
      </c>
      <c r="BY75" s="61">
        <f>COUNT(AZ75:BS75)</f>
        <v/>
      </c>
      <c r="BZ75" s="61">
        <f>IF(AND(H75=$BU75,BV75&gt;=INT($BU75/4),BV75&lt;=INT($BU75/4)+IF(MOD($BU75,4)&gt;0,1,0),BW75&gt;=INT($BU75/4),BW75&lt;=INT($BU75/4)+IF(MOD($BU75,4)&gt;0,1,0),BX75&gt;=INT($BU75/4),BX75&lt;=INT($BU75/4)+IF(MOD($BU75,4)&gt;0,1,0),BY75&gt;=INT($BU75/4),BY75&lt;=INT($BU75/4)+IF(MOD($BU75,4)&gt;0,1,0)),"OK","CHECK")</f>
        <v/>
      </c>
    </row>
    <row r="76" ht="15" customHeight="1">
      <c r="A76" s="33" t="inlineStr">
        <is>
          <t>Sri Varshini</t>
        </is>
      </c>
      <c r="B76" s="16" t="inlineStr">
        <is>
          <t>MKS00232</t>
        </is>
      </c>
      <c r="C76" s="16" t="n">
        <v>0.2</v>
      </c>
      <c r="D76" s="16" t="inlineStr">
        <is>
          <t>Basic</t>
        </is>
      </c>
      <c r="E76" s="16" t="inlineStr">
        <is>
          <t>G Basic1</t>
        </is>
      </c>
      <c r="F76" s="16" t="n"/>
      <c r="G76" s="61" t="n">
        <v>12</v>
      </c>
      <c r="H76" s="61">
        <f>COUNT(J76:BS76)</f>
        <v/>
      </c>
      <c r="I76" s="63">
        <f>G76-H76</f>
        <v/>
      </c>
      <c r="J76" s="61" t="n"/>
      <c r="K76" s="61" t="n"/>
      <c r="L76" s="60" t="n">
        <v>0.7916666666666666</v>
      </c>
      <c r="M76" s="61" t="inlineStr">
        <is>
          <t>Abinaya</t>
        </is>
      </c>
      <c r="N76" s="83" t="n">
        <v>0.7083333333333334</v>
      </c>
      <c r="O76" s="84" t="inlineStr">
        <is>
          <t>Abinaya</t>
        </is>
      </c>
      <c r="P76" s="19" t="n"/>
      <c r="Q76" s="19" t="n"/>
      <c r="R76" s="61" t="n"/>
      <c r="S76" s="61" t="n"/>
      <c r="T76" s="60" t="n">
        <v>0.7916666666666666</v>
      </c>
      <c r="U76" s="61" t="inlineStr">
        <is>
          <t>Abinaya</t>
        </is>
      </c>
      <c r="V76" s="61" t="n"/>
      <c r="W76" s="61" t="n"/>
      <c r="X76" s="61" t="n"/>
      <c r="Y76" s="61" t="n"/>
      <c r="Z76" s="60" t="n">
        <v>0.7916666666666666</v>
      </c>
      <c r="AA76" s="61" t="inlineStr">
        <is>
          <t>Abinaya</t>
        </is>
      </c>
      <c r="AB76" s="61" t="n"/>
      <c r="AC76" s="61" t="n"/>
      <c r="AD76" s="19" t="n"/>
      <c r="AE76" s="19" t="n"/>
      <c r="AF76" s="61" t="n"/>
      <c r="AG76" s="61" t="n"/>
      <c r="AH76" s="60" t="n">
        <v>0.7916666666666666</v>
      </c>
      <c r="AI76" s="61" t="inlineStr">
        <is>
          <t>Abinaya</t>
        </is>
      </c>
      <c r="AJ76" s="60" t="n">
        <v>0.7916666666666666</v>
      </c>
      <c r="AK76" s="61" t="inlineStr">
        <is>
          <t>Abinaya</t>
        </is>
      </c>
      <c r="AL76" s="61" t="n"/>
      <c r="AM76" s="61" t="n"/>
      <c r="AN76" s="60" t="n">
        <v>0.7916666666666666</v>
      </c>
      <c r="AO76" s="61" t="inlineStr">
        <is>
          <t>Abinaya</t>
        </is>
      </c>
      <c r="AP76" s="60" t="n">
        <v>0.7916666666666666</v>
      </c>
      <c r="AQ76" s="61" t="inlineStr">
        <is>
          <t>Abinaya</t>
        </is>
      </c>
      <c r="AR76" s="19" t="n"/>
      <c r="AS76" s="19" t="n"/>
      <c r="AT76" s="61" t="n"/>
      <c r="AU76" s="61" t="n"/>
      <c r="AV76" s="61" t="n"/>
      <c r="AW76" s="61" t="n"/>
      <c r="AX76" s="60" t="n">
        <v>0.7916666666666666</v>
      </c>
      <c r="AY76" s="61" t="inlineStr">
        <is>
          <t>Abinaya</t>
        </is>
      </c>
      <c r="AZ76" s="61" t="n"/>
      <c r="BA76" s="61" t="n"/>
      <c r="BB76" s="60" t="n">
        <v>0.7916666666666666</v>
      </c>
      <c r="BC76" s="61" t="inlineStr">
        <is>
          <t>Abinaya</t>
        </is>
      </c>
      <c r="BD76" s="61" t="n"/>
      <c r="BE76" s="61" t="n"/>
      <c r="BF76" s="19" t="n"/>
      <c r="BG76" s="19" t="n"/>
      <c r="BH76" s="61" t="n"/>
      <c r="BI76" s="61" t="n"/>
      <c r="BJ76" s="61" t="n"/>
      <c r="BK76" s="61" t="n"/>
      <c r="BL76" s="61" t="n"/>
      <c r="BM76" s="61" t="n"/>
      <c r="BN76" s="61" t="n"/>
      <c r="BO76" s="61" t="n"/>
      <c r="BP76" s="60" t="n">
        <v>0.7916666666666666</v>
      </c>
      <c r="BQ76" s="61" t="inlineStr">
        <is>
          <t>Abinaya</t>
        </is>
      </c>
      <c r="BR76" s="91" t="n">
        <v>0.7916666666666666</v>
      </c>
      <c r="BS76" s="92" t="inlineStr">
        <is>
          <t>Abinaya</t>
        </is>
      </c>
      <c r="BT76" s="16" t="inlineStr">
        <is>
          <t>Newly assigned for Oct</t>
        </is>
      </c>
      <c r="BU76" s="61">
        <f>MIN(G76,12)</f>
        <v/>
      </c>
      <c r="BV76" s="61">
        <f>COUNT(J76:W76)</f>
        <v/>
      </c>
      <c r="BW76" s="61">
        <f>COUNT(X76:AK76)</f>
        <v/>
      </c>
      <c r="BX76" s="61">
        <f>COUNT(AL76:AY76)</f>
        <v/>
      </c>
      <c r="BY76" s="61">
        <f>COUNT(AZ76:BS76)</f>
        <v/>
      </c>
      <c r="BZ76" s="61">
        <f>IF(AND(H76=$BU76,BV76&gt;=INT($BU76/4),BV76&lt;=INT($BU76/4)+IF(MOD($BU76,4)&gt;0,1,0),BW76&gt;=INT($BU76/4),BW76&lt;=INT($BU76/4)+IF(MOD($BU76,4)&gt;0,1,0),BX76&gt;=INT($BU76/4),BX76&lt;=INT($BU76/4)+IF(MOD($BU76,4)&gt;0,1,0),BY76&gt;=INT($BU76/4),BY76&lt;=INT($BU76/4)+IF(MOD($BU76,4)&gt;0,1,0)),"OK","CHECK")</f>
        <v/>
      </c>
    </row>
    <row r="77" ht="15" customHeight="1">
      <c r="A77" s="16" t="inlineStr">
        <is>
          <t>Syed Individual</t>
        </is>
      </c>
      <c r="B77" s="16" t="inlineStr">
        <is>
          <t>MKS00076</t>
        </is>
      </c>
      <c r="C77" s="16" t="n">
        <v>3.5</v>
      </c>
      <c r="D77" s="16" t="inlineStr">
        <is>
          <t>Beginner</t>
        </is>
      </c>
      <c r="E77" s="16" t="inlineStr">
        <is>
          <t>I Beginner1</t>
        </is>
      </c>
      <c r="F77" s="16" t="n"/>
      <c r="G77" s="61" t="n">
        <v>8</v>
      </c>
      <c r="H77" s="61">
        <f>COUNT(J77:BS77)</f>
        <v/>
      </c>
      <c r="I77" s="63">
        <f>G77-H77</f>
        <v/>
      </c>
      <c r="J77" s="61" t="n"/>
      <c r="K77" s="61" t="n"/>
      <c r="L77" s="61" t="n"/>
      <c r="M77" s="61" t="n"/>
      <c r="N77" s="60" t="n">
        <v>0.7916666666666666</v>
      </c>
      <c r="O77" s="61" t="inlineStr">
        <is>
          <t>Bathri</t>
        </is>
      </c>
      <c r="P77" s="19" t="n"/>
      <c r="Q77" s="19" t="n"/>
      <c r="R77" s="61" t="n"/>
      <c r="S77" s="61" t="n"/>
      <c r="T77" s="60" t="n">
        <v>0.7916666666666666</v>
      </c>
      <c r="U77" s="61" t="inlineStr">
        <is>
          <t>Bathri</t>
        </is>
      </c>
      <c r="V77" s="61" t="n"/>
      <c r="W77" s="61" t="n"/>
      <c r="X77" s="61" t="n"/>
      <c r="Y77" s="61" t="n"/>
      <c r="Z77" s="61" t="n"/>
      <c r="AA77" s="61" t="n"/>
      <c r="AB77" s="60" t="n">
        <v>0.7916666666666666</v>
      </c>
      <c r="AC77" s="61" t="inlineStr">
        <is>
          <t>Bathri</t>
        </is>
      </c>
      <c r="AD77" s="19" t="n"/>
      <c r="AE77" s="19" t="n"/>
      <c r="AF77" s="61" t="n"/>
      <c r="AG77" s="61" t="n"/>
      <c r="AH77" s="60" t="n">
        <v>0.7916666666666666</v>
      </c>
      <c r="AI77" s="61" t="inlineStr">
        <is>
          <t>Bathri</t>
        </is>
      </c>
      <c r="AJ77" s="61" t="n"/>
      <c r="AK77" s="61" t="n"/>
      <c r="AL77" s="61" t="n"/>
      <c r="AM77" s="61" t="n"/>
      <c r="AN77" s="61" t="n"/>
      <c r="AO77" s="61" t="n"/>
      <c r="AP77" s="60" t="n">
        <v>0.7916666666666666</v>
      </c>
      <c r="AQ77" s="61" t="inlineStr">
        <is>
          <t>Bathri</t>
        </is>
      </c>
      <c r="AR77" s="19" t="n"/>
      <c r="AS77" s="19" t="n"/>
      <c r="AT77" s="61" t="n"/>
      <c r="AU77" s="61" t="n"/>
      <c r="AV77" s="60" t="n">
        <v>0.7916666666666666</v>
      </c>
      <c r="AW77" s="61" t="inlineStr">
        <is>
          <t>Bathri</t>
        </is>
      </c>
      <c r="AX77" s="61" t="n"/>
      <c r="AY77" s="61" t="n"/>
      <c r="AZ77" s="61" t="n"/>
      <c r="BA77" s="61" t="n"/>
      <c r="BB77" s="61" t="n"/>
      <c r="BC77" s="61" t="n"/>
      <c r="BD77" s="60" t="n">
        <v>0.7916666666666666</v>
      </c>
      <c r="BE77" s="61" t="inlineStr">
        <is>
          <t>Bathri</t>
        </is>
      </c>
      <c r="BF77" s="19" t="n"/>
      <c r="BG77" s="19" t="n"/>
      <c r="BH77" s="61" t="n"/>
      <c r="BI77" s="61" t="n"/>
      <c r="BJ77" s="61" t="n"/>
      <c r="BK77" s="61" t="n"/>
      <c r="BL77" s="61" t="n"/>
      <c r="BM77" s="61" t="n"/>
      <c r="BN77" s="61" t="n"/>
      <c r="BO77" s="61" t="n"/>
      <c r="BP77" s="61" t="n"/>
      <c r="BQ77" s="61" t="n"/>
      <c r="BR77" s="60" t="n">
        <v>0.7916666666666666</v>
      </c>
      <c r="BS77" s="61" t="inlineStr">
        <is>
          <t>Bathri</t>
        </is>
      </c>
      <c r="BT77" s="16" t="n"/>
      <c r="BU77" s="61">
        <f>MIN(G77,12)</f>
        <v/>
      </c>
      <c r="BV77" s="61">
        <f>COUNT(J77:W77)</f>
        <v/>
      </c>
      <c r="BW77" s="61">
        <f>COUNT(X77:AK77)</f>
        <v/>
      </c>
      <c r="BX77" s="61">
        <f>COUNT(AL77:AY77)</f>
        <v/>
      </c>
      <c r="BY77" s="61">
        <f>COUNT(AZ77:BS77)</f>
        <v/>
      </c>
      <c r="BZ77" s="61">
        <f>IF(AND(H77=$BU77,BV77&gt;=INT($BU77/4),BV77&lt;=INT($BU77/4)+IF(MOD($BU77,4)&gt;0,1,0),BW77&gt;=INT($BU77/4),BW77&lt;=INT($BU77/4)+IF(MOD($BU77,4)&gt;0,1,0),BX77&gt;=INT($BU77/4),BX77&lt;=INT($BU77/4)+IF(MOD($BU77,4)&gt;0,1,0),BY77&gt;=INT($BU77/4),BY77&lt;=INT($BU77/4)+IF(MOD($BU77,4)&gt;0,1,0)),"OK","CHECK")</f>
        <v/>
      </c>
    </row>
    <row r="78" ht="15" customHeight="1">
      <c r="A78" s="16" t="inlineStr">
        <is>
          <t>Rooban</t>
        </is>
      </c>
      <c r="B78" s="16" t="inlineStr">
        <is>
          <t>MKS00215</t>
        </is>
      </c>
      <c r="C78" s="16" t="n">
        <v>3</v>
      </c>
      <c r="D78" s="28" t="inlineStr">
        <is>
          <t>Beginner</t>
        </is>
      </c>
      <c r="E78" s="28" t="inlineStr">
        <is>
          <t>G beginner2</t>
        </is>
      </c>
      <c r="F78" s="16" t="n"/>
      <c r="G78" s="61" t="n">
        <v>12</v>
      </c>
      <c r="H78" s="61">
        <f>COUNT(J78:BS78)</f>
        <v/>
      </c>
      <c r="I78" s="63">
        <f>G78-H78</f>
        <v/>
      </c>
      <c r="J78" s="61" t="n"/>
      <c r="K78" s="61" t="n"/>
      <c r="L78" s="61" t="n"/>
      <c r="M78" s="61" t="n"/>
      <c r="N78" s="60" t="n">
        <v>0.75</v>
      </c>
      <c r="O78" s="61" t="inlineStr">
        <is>
          <t>Prakash</t>
        </is>
      </c>
      <c r="P78" s="32" t="n">
        <v>0.4583333333333333</v>
      </c>
      <c r="Q78" s="19" t="inlineStr">
        <is>
          <t>Manikandan</t>
        </is>
      </c>
      <c r="R78" s="61" t="n"/>
      <c r="S78" s="61" t="n"/>
      <c r="T78" s="48" t="n">
        <v>0.8333333333333334</v>
      </c>
      <c r="U78" s="49" t="inlineStr">
        <is>
          <t>Bathri</t>
        </is>
      </c>
      <c r="V78" s="61" t="n"/>
      <c r="W78" s="61" t="n"/>
      <c r="X78" s="61" t="n"/>
      <c r="Y78" s="61" t="n"/>
      <c r="Z78" s="61" t="n"/>
      <c r="AA78" s="61" t="n"/>
      <c r="AB78" s="60" t="n">
        <v>0.75</v>
      </c>
      <c r="AC78" s="61" t="inlineStr">
        <is>
          <t>Prakash</t>
        </is>
      </c>
      <c r="AD78" s="32" t="n">
        <v>0.4583333333333333</v>
      </c>
      <c r="AE78" s="19" t="inlineStr">
        <is>
          <t>Abinaya</t>
        </is>
      </c>
      <c r="AF78" s="60" t="n">
        <v>0.75</v>
      </c>
      <c r="AG78" s="61" t="inlineStr">
        <is>
          <t>Prakash</t>
        </is>
      </c>
      <c r="AH78" s="61" t="n"/>
      <c r="AI78" s="61" t="n"/>
      <c r="AJ78" s="61" t="n"/>
      <c r="AK78" s="61" t="n"/>
      <c r="AL78" s="61" t="n"/>
      <c r="AM78" s="61" t="n"/>
      <c r="AN78" s="61" t="n"/>
      <c r="AO78" s="61" t="n"/>
      <c r="AP78" s="60" t="n">
        <v>0.75</v>
      </c>
      <c r="AQ78" s="61" t="inlineStr">
        <is>
          <t>Prakash</t>
        </is>
      </c>
      <c r="AR78" s="32" t="n">
        <v>0.4583333333333333</v>
      </c>
      <c r="AS78" s="19" t="inlineStr">
        <is>
          <t>Abinaya</t>
        </is>
      </c>
      <c r="AT78" s="60" t="n">
        <v>0.75</v>
      </c>
      <c r="AU78" s="61" t="inlineStr">
        <is>
          <t>Prakash</t>
        </is>
      </c>
      <c r="AV78" s="61" t="n"/>
      <c r="AW78" s="61" t="n"/>
      <c r="AX78" s="61" t="n"/>
      <c r="AY78" s="61" t="n"/>
      <c r="AZ78" s="61" t="n"/>
      <c r="BA78" s="61" t="n"/>
      <c r="BB78" s="61" t="n"/>
      <c r="BC78" s="61" t="n"/>
      <c r="BD78" s="60" t="n">
        <v>0.75</v>
      </c>
      <c r="BE78" s="61" t="inlineStr">
        <is>
          <t>Prakash</t>
        </is>
      </c>
      <c r="BF78" s="19" t="n"/>
      <c r="BG78" s="19" t="n"/>
      <c r="BH78" s="60" t="n">
        <v>0.75</v>
      </c>
      <c r="BI78" s="61" t="inlineStr">
        <is>
          <t>Prakash</t>
        </is>
      </c>
      <c r="BJ78" s="61" t="n"/>
      <c r="BK78" s="61" t="n"/>
      <c r="BL78" s="61" t="n"/>
      <c r="BM78" s="61" t="n"/>
      <c r="BN78" s="61" t="n"/>
      <c r="BO78" s="61" t="n"/>
      <c r="BP78" s="61" t="n"/>
      <c r="BQ78" s="61" t="n"/>
      <c r="BR78" s="60" t="n">
        <v>0.75</v>
      </c>
      <c r="BS78" s="61" t="inlineStr">
        <is>
          <t>Prakash</t>
        </is>
      </c>
      <c r="BT78" s="16" t="n"/>
      <c r="BU78" s="61">
        <f>MIN(G78,12)</f>
        <v/>
      </c>
      <c r="BV78" s="61">
        <f>COUNT(J78:W78)</f>
        <v/>
      </c>
      <c r="BW78" s="61">
        <f>COUNT(X78:AK78)</f>
        <v/>
      </c>
      <c r="BX78" s="61">
        <f>COUNT(AL78:AY78)</f>
        <v/>
      </c>
      <c r="BY78" s="61">
        <f>COUNT(AZ78:BS78)</f>
        <v/>
      </c>
      <c r="BZ78" s="61">
        <f>IF(AND(H78=$BU78,BV78&gt;=INT($BU78/4),BV78&lt;=INT($BU78/4)+IF(MOD($BU78,4)&gt;0,1,0),BW78&gt;=INT($BU78/4),BW78&lt;=INT($BU78/4)+IF(MOD($BU78,4)&gt;0,1,0),BX78&gt;=INT($BU78/4),BX78&lt;=INT($BU78/4)+IF(MOD($BU78,4)&gt;0,1,0),BY78&gt;=INT($BU78/4),BY78&lt;=INT($BU78/4)+IF(MOD($BU78,4)&gt;0,1,0)),"OK","CHECK")</f>
        <v/>
      </c>
    </row>
    <row r="79" ht="15" customHeight="1">
      <c r="A79" s="16" t="inlineStr">
        <is>
          <t>Mithun Rajamani chakravarthi</t>
        </is>
      </c>
      <c r="B79" s="16" t="inlineStr">
        <is>
          <t>MKS00112</t>
        </is>
      </c>
      <c r="C79" s="16" t="n">
        <v>3.5</v>
      </c>
      <c r="D79" s="28" t="inlineStr">
        <is>
          <t>Beginner</t>
        </is>
      </c>
      <c r="E79" s="28" t="inlineStr">
        <is>
          <t>G Beginner2</t>
        </is>
      </c>
      <c r="F79" s="16" t="n"/>
      <c r="G79" s="61" t="n">
        <v>12</v>
      </c>
      <c r="H79" s="61">
        <f>COUNT(J79:BS79)</f>
        <v/>
      </c>
      <c r="I79" s="63">
        <f>G79-H79</f>
        <v/>
      </c>
      <c r="J79" s="61" t="n"/>
      <c r="K79" s="61" t="n"/>
      <c r="L79" s="61" t="n"/>
      <c r="M79" s="61" t="n"/>
      <c r="N79" s="60" t="n">
        <v>0.75</v>
      </c>
      <c r="O79" s="61" t="inlineStr">
        <is>
          <t>Prakash</t>
        </is>
      </c>
      <c r="P79" s="32" t="n">
        <v>0.4583333333333333</v>
      </c>
      <c r="Q79" s="19" t="inlineStr">
        <is>
          <t>Hema</t>
        </is>
      </c>
      <c r="R79" s="60" t="n">
        <v>0.75</v>
      </c>
      <c r="S79" s="61" t="inlineStr">
        <is>
          <t>Prakash</t>
        </is>
      </c>
      <c r="T79" s="61" t="n"/>
      <c r="U79" s="61" t="n"/>
      <c r="V79" s="61" t="n"/>
      <c r="W79" s="61" t="n"/>
      <c r="X79" s="61" t="n"/>
      <c r="Y79" s="61" t="n"/>
      <c r="Z79" s="61" t="n"/>
      <c r="AA79" s="61" t="n"/>
      <c r="AB79" s="60" t="n">
        <v>0.75</v>
      </c>
      <c r="AC79" s="61" t="inlineStr">
        <is>
          <t>Prakash</t>
        </is>
      </c>
      <c r="AD79" s="32" t="n">
        <v>0.4583333333333333</v>
      </c>
      <c r="AE79" s="19" t="inlineStr">
        <is>
          <t>Hema</t>
        </is>
      </c>
      <c r="AF79" s="60" t="n">
        <v>0.75</v>
      </c>
      <c r="AG79" s="61" t="inlineStr">
        <is>
          <t>Prakash</t>
        </is>
      </c>
      <c r="AH79" s="61" t="n"/>
      <c r="AI79" s="61" t="n"/>
      <c r="AJ79" s="61" t="n"/>
      <c r="AK79" s="61" t="n"/>
      <c r="AL79" s="61" t="n"/>
      <c r="AM79" s="61" t="n"/>
      <c r="AN79" s="61" t="n"/>
      <c r="AO79" s="61" t="n"/>
      <c r="AP79" s="60" t="n">
        <v>0.75</v>
      </c>
      <c r="AQ79" s="61" t="inlineStr">
        <is>
          <t>Prakash</t>
        </is>
      </c>
      <c r="AR79" s="32" t="n">
        <v>0.4583333333333333</v>
      </c>
      <c r="AS79" s="19" t="inlineStr">
        <is>
          <t>Hema</t>
        </is>
      </c>
      <c r="AT79" s="60" t="n">
        <v>0.75</v>
      </c>
      <c r="AU79" s="61" t="inlineStr">
        <is>
          <t>Prakash</t>
        </is>
      </c>
      <c r="AV79" s="61" t="n"/>
      <c r="AW79" s="61" t="n"/>
      <c r="AX79" s="61" t="n"/>
      <c r="AY79" s="61" t="n"/>
      <c r="AZ79" s="61" t="n"/>
      <c r="BA79" s="61" t="n"/>
      <c r="BB79" s="61" t="n"/>
      <c r="BC79" s="61" t="n"/>
      <c r="BD79" s="60" t="n">
        <v>0.75</v>
      </c>
      <c r="BE79" s="61" t="inlineStr">
        <is>
          <t>Prakash</t>
        </is>
      </c>
      <c r="BF79" s="19" t="n"/>
      <c r="BG79" s="19" t="n"/>
      <c r="BH79" s="60" t="n">
        <v>0.75</v>
      </c>
      <c r="BI79" s="61" t="inlineStr">
        <is>
          <t>Prakash</t>
        </is>
      </c>
      <c r="BJ79" s="61" t="n"/>
      <c r="BK79" s="61" t="n"/>
      <c r="BL79" s="61" t="n"/>
      <c r="BM79" s="61" t="n"/>
      <c r="BN79" s="61" t="n"/>
      <c r="BO79" s="61" t="n"/>
      <c r="BP79" s="61" t="n"/>
      <c r="BQ79" s="61" t="n"/>
      <c r="BR79" s="60" t="n">
        <v>0.75</v>
      </c>
      <c r="BS79" s="61" t="inlineStr">
        <is>
          <t>Prakash</t>
        </is>
      </c>
      <c r="BT79" s="16" t="n"/>
      <c r="BU79" s="61">
        <f>MIN(G79,12)</f>
        <v/>
      </c>
      <c r="BV79" s="61">
        <f>COUNT(J79:W79)</f>
        <v/>
      </c>
      <c r="BW79" s="61">
        <f>COUNT(X79:AK79)</f>
        <v/>
      </c>
      <c r="BX79" s="61">
        <f>COUNT(AL79:AY79)</f>
        <v/>
      </c>
      <c r="BY79" s="61">
        <f>COUNT(AZ79:BS79)</f>
        <v/>
      </c>
      <c r="BZ79" s="61">
        <f>IF(AND(H79=$BU79,BV79&gt;=INT($BU79/4),BV79&lt;=INT($BU79/4)+IF(MOD($BU79,4)&gt;0,1,0),BW79&gt;=INT($BU79/4),BW79&lt;=INT($BU79/4)+IF(MOD($BU79,4)&gt;0,1,0),BX79&gt;=INT($BU79/4),BX79&lt;=INT($BU79/4)+IF(MOD($BU79,4)&gt;0,1,0),BY79&gt;=INT($BU79/4),BY79&lt;=INT($BU79/4)+IF(MOD($BU79,4)&gt;0,1,0)),"OK","CHECK")</f>
        <v/>
      </c>
    </row>
    <row r="80" ht="15" customHeight="1">
      <c r="A80" s="16" t="inlineStr">
        <is>
          <t>Charvi</t>
        </is>
      </c>
      <c r="B80" s="16" t="inlineStr">
        <is>
          <t>MKS00163</t>
        </is>
      </c>
      <c r="C80" s="16" t="n">
        <v>3</v>
      </c>
      <c r="D80" s="16" t="inlineStr">
        <is>
          <t>Beginner</t>
        </is>
      </c>
      <c r="E80" s="16" t="inlineStr">
        <is>
          <t>G Beginner1</t>
        </is>
      </c>
      <c r="F80" s="16" t="n"/>
      <c r="G80" s="61" t="n">
        <v>12</v>
      </c>
      <c r="H80" s="61">
        <f>COUNT(J80:BS80)</f>
        <v/>
      </c>
      <c r="I80" s="63">
        <f>G80-H80</f>
        <v/>
      </c>
      <c r="J80" s="61" t="n"/>
      <c r="K80" s="61" t="n"/>
      <c r="L80" s="61" t="n"/>
      <c r="M80" s="61" t="n"/>
      <c r="N80" s="60" t="n">
        <v>0.75</v>
      </c>
      <c r="O80" s="61" t="inlineStr">
        <is>
          <t>Prakash</t>
        </is>
      </c>
      <c r="P80" s="32" t="n">
        <v>0.4583333333333333</v>
      </c>
      <c r="Q80" s="19" t="inlineStr">
        <is>
          <t>Guru</t>
        </is>
      </c>
      <c r="R80" s="60" t="n">
        <v>0.75</v>
      </c>
      <c r="S80" s="61" t="inlineStr">
        <is>
          <t>Prakash</t>
        </is>
      </c>
      <c r="T80" s="61" t="n"/>
      <c r="U80" s="61" t="n"/>
      <c r="V80" s="61" t="n"/>
      <c r="W80" s="61" t="n"/>
      <c r="X80" s="61" t="n"/>
      <c r="Y80" s="61" t="n"/>
      <c r="Z80" s="61" t="n"/>
      <c r="AA80" s="61" t="n"/>
      <c r="AB80" s="60" t="n">
        <v>0.75</v>
      </c>
      <c r="AC80" s="61" t="inlineStr">
        <is>
          <t>Prakash</t>
        </is>
      </c>
      <c r="AD80" s="32" t="n">
        <v>0.4583333333333333</v>
      </c>
      <c r="AE80" s="19" t="inlineStr">
        <is>
          <t>Guru</t>
        </is>
      </c>
      <c r="AF80" s="60" t="n">
        <v>0.75</v>
      </c>
      <c r="AG80" s="61" t="inlineStr">
        <is>
          <t>Prakash</t>
        </is>
      </c>
      <c r="AH80" s="61" t="n"/>
      <c r="AI80" s="61" t="n"/>
      <c r="AJ80" s="61" t="n"/>
      <c r="AK80" s="61" t="n"/>
      <c r="AL80" s="61" t="n"/>
      <c r="AM80" s="61" t="n"/>
      <c r="AN80" s="61" t="n"/>
      <c r="AO80" s="61" t="n"/>
      <c r="AP80" s="60" t="n">
        <v>0.75</v>
      </c>
      <c r="AQ80" s="61" t="inlineStr">
        <is>
          <t>Prakash</t>
        </is>
      </c>
      <c r="AR80" s="32" t="n">
        <v>0.4583333333333333</v>
      </c>
      <c r="AS80" s="19" t="inlineStr">
        <is>
          <t>Guru</t>
        </is>
      </c>
      <c r="AT80" s="60" t="n">
        <v>0.75</v>
      </c>
      <c r="AU80" s="61" t="inlineStr">
        <is>
          <t>Prakash</t>
        </is>
      </c>
      <c r="AV80" s="61" t="n"/>
      <c r="AW80" s="61" t="n"/>
      <c r="AX80" s="61" t="n"/>
      <c r="AY80" s="61" t="n"/>
      <c r="AZ80" s="61" t="n"/>
      <c r="BA80" s="61" t="n"/>
      <c r="BB80" s="61" t="n"/>
      <c r="BC80" s="61" t="n"/>
      <c r="BD80" s="60" t="n">
        <v>0.75</v>
      </c>
      <c r="BE80" s="61" t="inlineStr">
        <is>
          <t>Prakash</t>
        </is>
      </c>
      <c r="BF80" s="32" t="n">
        <v>0.4583333333333333</v>
      </c>
      <c r="BG80" s="19" t="inlineStr">
        <is>
          <t>Guru</t>
        </is>
      </c>
      <c r="BH80" s="61" t="n"/>
      <c r="BI80" s="61" t="n"/>
      <c r="BJ80" s="61" t="n"/>
      <c r="BK80" s="61" t="n"/>
      <c r="BL80" s="61" t="n"/>
      <c r="BM80" s="61" t="n"/>
      <c r="BN80" s="61" t="n"/>
      <c r="BO80" s="61" t="n"/>
      <c r="BP80" s="61" t="n"/>
      <c r="BQ80" s="61" t="n"/>
      <c r="BR80" s="60" t="n">
        <v>0.75</v>
      </c>
      <c r="BS80" s="61" t="inlineStr">
        <is>
          <t>Prakash</t>
        </is>
      </c>
      <c r="BT80" s="16" t="n"/>
      <c r="BU80" s="61">
        <f>MIN(G80,12)</f>
        <v/>
      </c>
      <c r="BV80" s="61">
        <f>COUNT(J80:W80)</f>
        <v/>
      </c>
      <c r="BW80" s="61">
        <f>COUNT(X80:AK80)</f>
        <v/>
      </c>
      <c r="BX80" s="61">
        <f>COUNT(AL80:AY80)</f>
        <v/>
      </c>
      <c r="BY80" s="61">
        <f>COUNT(AZ80:BS80)</f>
        <v/>
      </c>
      <c r="BZ80" s="61">
        <f>IF(AND(H80=$BU80,BV80&gt;=INT($BU80/4),BV80&lt;=INT($BU80/4)+IF(MOD($BU80,4)&gt;0,1,0),BW80&gt;=INT($BU80/4),BW80&lt;=INT($BU80/4)+IF(MOD($BU80,4)&gt;0,1,0),BX80&gt;=INT($BU80/4),BX80&lt;=INT($BU80/4)+IF(MOD($BU80,4)&gt;0,1,0),BY80&gt;=INT($BU80/4),BY80&lt;=INT($BU80/4)+IF(MOD($BU80,4)&gt;0,1,0)),"OK","CHECK")</f>
        <v/>
      </c>
    </row>
    <row r="81" ht="15" customHeight="1">
      <c r="A81" s="16" t="inlineStr">
        <is>
          <t>Mithra sree A</t>
        </is>
      </c>
      <c r="B81" s="16" t="inlineStr">
        <is>
          <t>MKS00161</t>
        </is>
      </c>
      <c r="C81" s="16" t="n">
        <v>4</v>
      </c>
      <c r="D81" s="16" t="inlineStr">
        <is>
          <t>Beginner</t>
        </is>
      </c>
      <c r="E81" s="16" t="inlineStr">
        <is>
          <t>G Beginner1</t>
        </is>
      </c>
      <c r="F81" s="16" t="n"/>
      <c r="G81" s="61" t="n">
        <v>12</v>
      </c>
      <c r="H81" s="61">
        <f>COUNT(J81:BS81)</f>
        <v/>
      </c>
      <c r="I81" s="63">
        <f>G81-H81</f>
        <v/>
      </c>
      <c r="J81" s="61" t="n"/>
      <c r="K81" s="61" t="n"/>
      <c r="L81" s="61" t="n"/>
      <c r="M81" s="61" t="n"/>
      <c r="N81" s="60" t="n">
        <v>0.75</v>
      </c>
      <c r="O81" s="61" t="inlineStr">
        <is>
          <t>Prakash</t>
        </is>
      </c>
      <c r="P81" s="32" t="n">
        <v>0.4583333333333333</v>
      </c>
      <c r="Q81" s="19" t="inlineStr">
        <is>
          <t>Hema</t>
        </is>
      </c>
      <c r="R81" s="60" t="n">
        <v>0.75</v>
      </c>
      <c r="S81" s="61" t="inlineStr">
        <is>
          <t>Prakash</t>
        </is>
      </c>
      <c r="T81" s="61" t="n"/>
      <c r="U81" s="61" t="n"/>
      <c r="V81" s="61" t="n"/>
      <c r="W81" s="61" t="n"/>
      <c r="X81" s="61" t="n"/>
      <c r="Y81" s="61" t="n"/>
      <c r="Z81" s="61" t="n"/>
      <c r="AA81" s="61" t="n"/>
      <c r="AB81" s="60" t="n">
        <v>0.75</v>
      </c>
      <c r="AC81" s="61" t="inlineStr">
        <is>
          <t>Prakash</t>
        </is>
      </c>
      <c r="AD81" s="32" t="n">
        <v>0.4583333333333333</v>
      </c>
      <c r="AE81" s="19" t="inlineStr">
        <is>
          <t>Hema</t>
        </is>
      </c>
      <c r="AF81" s="60" t="n">
        <v>0.75</v>
      </c>
      <c r="AG81" s="61" t="inlineStr">
        <is>
          <t>Prakash</t>
        </is>
      </c>
      <c r="AH81" s="61" t="n"/>
      <c r="AI81" s="61" t="n"/>
      <c r="AJ81" s="61" t="n"/>
      <c r="AK81" s="61" t="n"/>
      <c r="AL81" s="61" t="n"/>
      <c r="AM81" s="61" t="n"/>
      <c r="AN81" s="61" t="n"/>
      <c r="AO81" s="61" t="n"/>
      <c r="AP81" s="60" t="n">
        <v>0.75</v>
      </c>
      <c r="AQ81" s="61" t="inlineStr">
        <is>
          <t>Prakash</t>
        </is>
      </c>
      <c r="AR81" s="32" t="n">
        <v>0.4583333333333333</v>
      </c>
      <c r="AS81" s="19" t="inlineStr">
        <is>
          <t>Hema</t>
        </is>
      </c>
      <c r="AT81" s="60" t="n">
        <v>0.75</v>
      </c>
      <c r="AU81" s="61" t="inlineStr">
        <is>
          <t>Prakash</t>
        </is>
      </c>
      <c r="AV81" s="61" t="n"/>
      <c r="AW81" s="61" t="n"/>
      <c r="AX81" s="61" t="n"/>
      <c r="AY81" s="61" t="n"/>
      <c r="AZ81" s="61" t="n"/>
      <c r="BA81" s="61" t="n"/>
      <c r="BB81" s="61" t="n"/>
      <c r="BC81" s="61" t="n"/>
      <c r="BD81" s="60" t="n">
        <v>0.75</v>
      </c>
      <c r="BE81" s="61" t="inlineStr">
        <is>
          <t>Prakash</t>
        </is>
      </c>
      <c r="BF81" s="32" t="n">
        <v>0.4583333333333333</v>
      </c>
      <c r="BG81" s="19" t="inlineStr">
        <is>
          <t>Hema</t>
        </is>
      </c>
      <c r="BH81" s="60" t="n">
        <v>0.75</v>
      </c>
      <c r="BI81" s="61" t="inlineStr">
        <is>
          <t>Prakash</t>
        </is>
      </c>
      <c r="BJ81" s="61" t="n"/>
      <c r="BK81" s="61" t="n"/>
      <c r="BL81" s="61" t="n"/>
      <c r="BM81" s="61" t="n"/>
      <c r="BN81" s="61" t="n"/>
      <c r="BO81" s="61" t="n"/>
      <c r="BP81" s="61" t="n"/>
      <c r="BQ81" s="61" t="n"/>
      <c r="BR81" s="61" t="n"/>
      <c r="BS81" s="61" t="n"/>
      <c r="BT81" s="16" t="n"/>
      <c r="BU81" s="61">
        <f>MIN(G81,12)</f>
        <v/>
      </c>
      <c r="BV81" s="61">
        <f>COUNT(J81:W81)</f>
        <v/>
      </c>
      <c r="BW81" s="61">
        <f>COUNT(X81:AK81)</f>
        <v/>
      </c>
      <c r="BX81" s="61">
        <f>COUNT(AL81:AY81)</f>
        <v/>
      </c>
      <c r="BY81" s="61">
        <f>COUNT(AZ81:BS81)</f>
        <v/>
      </c>
      <c r="BZ81" s="61">
        <f>IF(AND(H81=$BU81,BV81&gt;=INT($BU81/4),BV81&lt;=INT($BU81/4)+IF(MOD($BU81,4)&gt;0,1,0),BW81&gt;=INT($BU81/4),BW81&lt;=INT($BU81/4)+IF(MOD($BU81,4)&gt;0,1,0),BX81&gt;=INT($BU81/4),BX81&lt;=INT($BU81/4)+IF(MOD($BU81,4)&gt;0,1,0),BY81&gt;=INT($BU81/4),BY81&lt;=INT($BU81/4)+IF(MOD($BU81,4)&gt;0,1,0)),"OK","CHECK")</f>
        <v/>
      </c>
    </row>
    <row r="82" ht="15" customHeight="1">
      <c r="A82" s="16" t="inlineStr">
        <is>
          <t>Rohith kumar.B</t>
        </is>
      </c>
      <c r="B82" s="16" t="inlineStr">
        <is>
          <t>MKS00207</t>
        </is>
      </c>
      <c r="C82" s="16" t="n">
        <v>3.4</v>
      </c>
      <c r="D82" s="16" t="inlineStr">
        <is>
          <t>Early Intermediate</t>
        </is>
      </c>
      <c r="E82" s="16" t="inlineStr">
        <is>
          <t>G Early Intermediate1</t>
        </is>
      </c>
      <c r="F82" s="16" t="inlineStr">
        <is>
          <t>Not available in morning</t>
        </is>
      </c>
      <c r="G82" s="61" t="n">
        <v>12</v>
      </c>
      <c r="H82" s="61">
        <f>COUNT(J82:BS82)</f>
        <v/>
      </c>
      <c r="I82" s="63">
        <f>G82-H82</f>
        <v/>
      </c>
      <c r="J82" s="60" t="n"/>
      <c r="K82" s="61" t="n"/>
      <c r="L82" s="61" t="n"/>
      <c r="M82" s="61" t="n"/>
      <c r="N82" s="83" t="n">
        <v>0.75</v>
      </c>
      <c r="O82" s="84" t="inlineStr">
        <is>
          <t>Manikandan</t>
        </is>
      </c>
      <c r="P82" s="32" t="n">
        <v>0.4583333333333333</v>
      </c>
      <c r="Q82" s="19" t="inlineStr">
        <is>
          <t>Hema</t>
        </is>
      </c>
      <c r="R82" s="22" t="n">
        <v>0.75</v>
      </c>
      <c r="S82" s="23" t="inlineStr">
        <is>
          <t>Prakash</t>
        </is>
      </c>
      <c r="T82" s="61" t="n"/>
      <c r="U82" s="61" t="n"/>
      <c r="V82" s="61" t="n"/>
      <c r="W82" s="61" t="n"/>
      <c r="X82" s="61" t="n"/>
      <c r="Y82" s="61" t="n"/>
      <c r="Z82" s="60" t="n"/>
      <c r="AA82" s="61" t="n"/>
      <c r="AB82" s="83" t="n">
        <v>0.75</v>
      </c>
      <c r="AC82" s="84" t="inlineStr">
        <is>
          <t>Manikandan</t>
        </is>
      </c>
      <c r="AD82" s="32" t="n">
        <v>0.4583333333333333</v>
      </c>
      <c r="AE82" s="19" t="inlineStr">
        <is>
          <t>Hema</t>
        </is>
      </c>
      <c r="AF82" s="60" t="n"/>
      <c r="AG82" s="61" t="n"/>
      <c r="AH82" s="83" t="n">
        <v>0.75</v>
      </c>
      <c r="AI82" s="84" t="inlineStr">
        <is>
          <t>Manikandan</t>
        </is>
      </c>
      <c r="AJ82" s="61" t="n"/>
      <c r="AK82" s="61" t="n"/>
      <c r="AL82" s="61" t="n"/>
      <c r="AM82" s="61" t="n"/>
      <c r="AN82" s="60" t="n"/>
      <c r="AO82" s="61" t="n"/>
      <c r="AP82" s="83" t="n">
        <v>0.75</v>
      </c>
      <c r="AQ82" s="84" t="inlineStr">
        <is>
          <t>Manikandan</t>
        </is>
      </c>
      <c r="AR82" s="32" t="n">
        <v>0.4583333333333333</v>
      </c>
      <c r="AS82" s="19" t="inlineStr">
        <is>
          <t>Hema</t>
        </is>
      </c>
      <c r="AT82" s="60" t="n"/>
      <c r="AU82" s="61" t="n"/>
      <c r="AV82" s="83" t="n">
        <v>0.75</v>
      </c>
      <c r="AW82" s="84" t="inlineStr">
        <is>
          <t>Manikandan</t>
        </is>
      </c>
      <c r="AX82" s="61" t="n"/>
      <c r="AY82" s="61" t="n"/>
      <c r="AZ82" s="61" t="n"/>
      <c r="BA82" s="61" t="n"/>
      <c r="BB82" s="61" t="n"/>
      <c r="BC82" s="61" t="n"/>
      <c r="BD82" s="61" t="n"/>
      <c r="BE82" s="61" t="n"/>
      <c r="BF82" s="32" t="n">
        <v>0.4583333333333333</v>
      </c>
      <c r="BG82" s="19" t="inlineStr">
        <is>
          <t>Hema</t>
        </is>
      </c>
      <c r="BH82" s="60" t="n"/>
      <c r="BI82" s="61" t="n"/>
      <c r="BJ82" s="22" t="n">
        <v>0.75</v>
      </c>
      <c r="BK82" s="23" t="inlineStr">
        <is>
          <t>Prakash</t>
        </is>
      </c>
      <c r="BL82" s="61" t="n"/>
      <c r="BM82" s="61" t="n"/>
      <c r="BN82" s="61" t="n"/>
      <c r="BO82" s="61" t="n"/>
      <c r="BP82" s="60" t="n"/>
      <c r="BQ82" s="61" t="n"/>
      <c r="BR82" s="83" t="n">
        <v>0.75</v>
      </c>
      <c r="BS82" s="84" t="inlineStr">
        <is>
          <t>Manikandan</t>
        </is>
      </c>
      <c r="BT82" s="16" t="n"/>
      <c r="BU82" s="61">
        <f>MIN(G82,12)</f>
        <v/>
      </c>
      <c r="BV82" s="61">
        <f>COUNT(J82:W82)</f>
        <v/>
      </c>
      <c r="BW82" s="61">
        <f>COUNT(X82:AK82)</f>
        <v/>
      </c>
      <c r="BX82" s="61">
        <f>COUNT(AL82:AY82)</f>
        <v/>
      </c>
      <c r="BY82" s="61">
        <f>COUNT(AZ82:BS82)</f>
        <v/>
      </c>
      <c r="BZ82" s="61">
        <f>IF(AND(H82=$BU82,BV82&gt;=INT($BU82/4),BV82&lt;=INT($BU82/4)+IF(MOD($BU82,4)&gt;0,1,0),BW82&gt;=INT($BU82/4),BW82&lt;=INT($BU82/4)+IF(MOD($BU82,4)&gt;0,1,0),BX82&gt;=INT($BU82/4),BX82&lt;=INT($BU82/4)+IF(MOD($BU82,4)&gt;0,1,0),BY82&gt;=INT($BU82/4),BY82&lt;=INT($BU82/4)+IF(MOD($BU82,4)&gt;0,1,0)),"OK","CHECK")</f>
        <v/>
      </c>
    </row>
    <row r="83" ht="15" customHeight="1">
      <c r="A83" s="16" t="inlineStr">
        <is>
          <t>V.D. THARUN ADITHYA</t>
        </is>
      </c>
      <c r="B83" s="16" t="inlineStr">
        <is>
          <t>MKS00212</t>
        </is>
      </c>
      <c r="C83" s="16" t="n">
        <v>3.3</v>
      </c>
      <c r="D83" s="16" t="inlineStr">
        <is>
          <t>Early Intermediate</t>
        </is>
      </c>
      <c r="E83" s="16" t="inlineStr">
        <is>
          <t>G Early Intermediate1</t>
        </is>
      </c>
      <c r="F83" s="16" t="n"/>
      <c r="G83" s="61" t="n">
        <v>12</v>
      </c>
      <c r="H83" s="61">
        <f>COUNT(J83:BS83)</f>
        <v/>
      </c>
      <c r="I83" s="63">
        <f>G83-H83</f>
        <v/>
      </c>
      <c r="J83" s="61" t="n"/>
      <c r="K83" s="61" t="n"/>
      <c r="L83" s="60" t="n">
        <v>0.7916666666666666</v>
      </c>
      <c r="M83" s="61" t="inlineStr">
        <is>
          <t>Dhaanush</t>
        </is>
      </c>
      <c r="N83" s="61" t="n"/>
      <c r="O83" s="61" t="n"/>
      <c r="P83" s="32" t="n">
        <v>0.4166666666666667</v>
      </c>
      <c r="Q83" s="19" t="inlineStr">
        <is>
          <t>Abinaya</t>
        </is>
      </c>
      <c r="R83" s="60" t="n">
        <v>0.7916666666666666</v>
      </c>
      <c r="S83" s="61" t="inlineStr">
        <is>
          <t>Dhaanush</t>
        </is>
      </c>
      <c r="T83" s="61" t="n"/>
      <c r="U83" s="61" t="n"/>
      <c r="V83" s="61" t="n"/>
      <c r="W83" s="61" t="n"/>
      <c r="X83" s="61" t="n"/>
      <c r="Y83" s="61" t="n"/>
      <c r="Z83" s="60" t="n">
        <v>0.7916666666666666</v>
      </c>
      <c r="AA83" s="61" t="inlineStr">
        <is>
          <t>Dhaanush</t>
        </is>
      </c>
      <c r="AB83" s="61" t="n"/>
      <c r="AC83" s="61" t="n"/>
      <c r="AD83" s="32" t="n">
        <v>0.4166666666666667</v>
      </c>
      <c r="AE83" s="19" t="inlineStr">
        <is>
          <t>Abinaya</t>
        </is>
      </c>
      <c r="AF83" s="60" t="n">
        <v>0.7916666666666666</v>
      </c>
      <c r="AG83" s="61" t="inlineStr">
        <is>
          <t>Dhaanush</t>
        </is>
      </c>
      <c r="AH83" s="61" t="n"/>
      <c r="AI83" s="61" t="n"/>
      <c r="AJ83" s="61" t="n"/>
      <c r="AK83" s="61" t="n"/>
      <c r="AL83" s="61" t="n"/>
      <c r="AM83" s="61" t="n"/>
      <c r="AN83" s="60" t="n">
        <v>0.7916666666666666</v>
      </c>
      <c r="AO83" s="61" t="inlineStr">
        <is>
          <t>Dhaanush</t>
        </is>
      </c>
      <c r="AP83" s="61" t="n"/>
      <c r="AQ83" s="61" t="n"/>
      <c r="AR83" s="32" t="n">
        <v>0.4166666666666667</v>
      </c>
      <c r="AS83" s="19" t="inlineStr">
        <is>
          <t>Abinaya</t>
        </is>
      </c>
      <c r="AT83" s="60" t="n">
        <v>0.7916666666666666</v>
      </c>
      <c r="AU83" s="61" t="inlineStr">
        <is>
          <t>Dhaanush</t>
        </is>
      </c>
      <c r="AV83" s="61" t="n"/>
      <c r="AW83" s="61" t="n"/>
      <c r="AX83" s="61" t="n"/>
      <c r="AY83" s="61" t="n"/>
      <c r="AZ83" s="61" t="n"/>
      <c r="BA83" s="61" t="n"/>
      <c r="BB83" s="60" t="n">
        <v>0.7916666666666666</v>
      </c>
      <c r="BC83" s="61" t="inlineStr">
        <is>
          <t>Dhaanush</t>
        </is>
      </c>
      <c r="BD83" s="61" t="n"/>
      <c r="BE83" s="61" t="n"/>
      <c r="BF83" s="19" t="n"/>
      <c r="BG83" s="19" t="n"/>
      <c r="BH83" s="60" t="n">
        <v>0.7916666666666666</v>
      </c>
      <c r="BI83" s="61" t="inlineStr">
        <is>
          <t>Dhaanush</t>
        </is>
      </c>
      <c r="BJ83" s="61" t="n"/>
      <c r="BK83" s="61" t="n"/>
      <c r="BL83" s="61" t="n"/>
      <c r="BM83" s="61" t="n"/>
      <c r="BN83" s="61" t="n"/>
      <c r="BO83" s="61" t="n"/>
      <c r="BP83" s="60" t="n">
        <v>0.7916666666666666</v>
      </c>
      <c r="BQ83" s="61" t="inlineStr">
        <is>
          <t>Dhaanush</t>
        </is>
      </c>
      <c r="BR83" s="61" t="n"/>
      <c r="BS83" s="61" t="n"/>
      <c r="BT83" s="16" t="n"/>
      <c r="BU83" s="61">
        <f>MIN(G83,12)</f>
        <v/>
      </c>
      <c r="BV83" s="61">
        <f>COUNT(J83:W83)</f>
        <v/>
      </c>
      <c r="BW83" s="61">
        <f>COUNT(X83:AK83)</f>
        <v/>
      </c>
      <c r="BX83" s="61">
        <f>COUNT(AL83:AY83)</f>
        <v/>
      </c>
      <c r="BY83" s="61">
        <f>COUNT(AZ83:BS83)</f>
        <v/>
      </c>
      <c r="BZ83" s="61">
        <f>IF(AND(H83=$BU83,BV83&gt;=INT($BU83/4),BV83&lt;=INT($BU83/4)+IF(MOD($BU83,4)&gt;0,1,0),BW83&gt;=INT($BU83/4),BW83&lt;=INT($BU83/4)+IF(MOD($BU83,4)&gt;0,1,0),BX83&gt;=INT($BU83/4),BX83&lt;=INT($BU83/4)+IF(MOD($BU83,4)&gt;0,1,0),BY83&gt;=INT($BU83/4),BY83&lt;=INT($BU83/4)+IF(MOD($BU83,4)&gt;0,1,0)),"OK","CHECK")</f>
        <v/>
      </c>
    </row>
    <row r="84" ht="15" customHeight="1">
      <c r="A84" s="16" t="inlineStr">
        <is>
          <t>D. Tharun</t>
        </is>
      </c>
      <c r="B84" s="16" t="inlineStr">
        <is>
          <t>MKS00127</t>
        </is>
      </c>
      <c r="C84" s="16" t="n">
        <v>4</v>
      </c>
      <c r="D84" s="16" t="inlineStr">
        <is>
          <t>Early Intermediate</t>
        </is>
      </c>
      <c r="E84" s="16" t="inlineStr">
        <is>
          <t>G Early Intermediate1</t>
        </is>
      </c>
      <c r="F84" s="16" t="n"/>
      <c r="G84" s="61" t="n">
        <v>12</v>
      </c>
      <c r="H84" s="61">
        <f>COUNT(J84:BS84)</f>
        <v/>
      </c>
      <c r="I84" s="63">
        <f>G84-H84</f>
        <v/>
      </c>
      <c r="J84" s="61" t="n"/>
      <c r="K84" s="61" t="n"/>
      <c r="L84" s="60" t="n">
        <v>0.7916666666666666</v>
      </c>
      <c r="M84" s="61" t="inlineStr">
        <is>
          <t>Dhaanush</t>
        </is>
      </c>
      <c r="N84" s="61" t="n"/>
      <c r="O84" s="61" t="n"/>
      <c r="P84" s="32" t="n">
        <v>0.4166666666666667</v>
      </c>
      <c r="Q84" s="19" t="inlineStr">
        <is>
          <t>Abinaya</t>
        </is>
      </c>
      <c r="R84" s="60" t="n">
        <v>0.7916666666666666</v>
      </c>
      <c r="S84" s="61" t="inlineStr">
        <is>
          <t>Dhaanush</t>
        </is>
      </c>
      <c r="T84" s="61" t="n"/>
      <c r="U84" s="61" t="n"/>
      <c r="V84" s="61" t="n"/>
      <c r="W84" s="61" t="n"/>
      <c r="X84" s="61" t="n"/>
      <c r="Y84" s="61" t="n"/>
      <c r="Z84" s="60" t="n">
        <v>0.7916666666666666</v>
      </c>
      <c r="AA84" s="61" t="inlineStr">
        <is>
          <t>Dhaanush</t>
        </is>
      </c>
      <c r="AB84" s="61" t="n"/>
      <c r="AC84" s="61" t="n"/>
      <c r="AD84" s="32" t="n">
        <v>0.4166666666666667</v>
      </c>
      <c r="AE84" s="19" t="inlineStr">
        <is>
          <t>Abinaya</t>
        </is>
      </c>
      <c r="AF84" s="60" t="n">
        <v>0.7916666666666666</v>
      </c>
      <c r="AG84" s="61" t="inlineStr">
        <is>
          <t>Dhaanush</t>
        </is>
      </c>
      <c r="AH84" s="61" t="n"/>
      <c r="AI84" s="61" t="n"/>
      <c r="AJ84" s="61" t="n"/>
      <c r="AK84" s="61" t="n"/>
      <c r="AL84" s="61" t="n"/>
      <c r="AM84" s="61" t="n"/>
      <c r="AN84" s="60" t="n">
        <v>0.7916666666666666</v>
      </c>
      <c r="AO84" s="61" t="inlineStr">
        <is>
          <t>Dhaanush</t>
        </is>
      </c>
      <c r="AP84" s="61" t="n"/>
      <c r="AQ84" s="61" t="n"/>
      <c r="AR84" s="32" t="n">
        <v>0.4166666666666667</v>
      </c>
      <c r="AS84" s="19" t="inlineStr">
        <is>
          <t>Abinaya</t>
        </is>
      </c>
      <c r="AT84" s="60" t="n">
        <v>0.7916666666666666</v>
      </c>
      <c r="AU84" s="61" t="inlineStr">
        <is>
          <t>Dhaanush</t>
        </is>
      </c>
      <c r="AV84" s="61" t="n"/>
      <c r="AW84" s="61" t="n"/>
      <c r="AX84" s="61" t="n"/>
      <c r="AY84" s="61" t="n"/>
      <c r="AZ84" s="61" t="n"/>
      <c r="BA84" s="61" t="n"/>
      <c r="BB84" s="60" t="n">
        <v>0.7916666666666666</v>
      </c>
      <c r="BC84" s="61" t="inlineStr">
        <is>
          <t>Dhaanush</t>
        </is>
      </c>
      <c r="BD84" s="61" t="n"/>
      <c r="BE84" s="61" t="n"/>
      <c r="BF84" s="19" t="n"/>
      <c r="BG84" s="19" t="n"/>
      <c r="BH84" s="60" t="n">
        <v>0.7916666666666666</v>
      </c>
      <c r="BI84" s="61" t="inlineStr">
        <is>
          <t>Dhaanush</t>
        </is>
      </c>
      <c r="BJ84" s="61" t="n"/>
      <c r="BK84" s="61" t="n"/>
      <c r="BL84" s="61" t="n"/>
      <c r="BM84" s="61" t="n"/>
      <c r="BN84" s="61" t="n"/>
      <c r="BO84" s="61" t="n"/>
      <c r="BP84" s="60" t="n">
        <v>0.7916666666666666</v>
      </c>
      <c r="BQ84" s="61" t="inlineStr">
        <is>
          <t>Dhaanush</t>
        </is>
      </c>
      <c r="BR84" s="61" t="n"/>
      <c r="BS84" s="61" t="n"/>
      <c r="BT84" s="16" t="n"/>
      <c r="BU84" s="61">
        <f>MIN(G84,12)</f>
        <v/>
      </c>
      <c r="BV84" s="61">
        <f>COUNT(J84:W84)</f>
        <v/>
      </c>
      <c r="BW84" s="61">
        <f>COUNT(X84:AK84)</f>
        <v/>
      </c>
      <c r="BX84" s="61">
        <f>COUNT(AL84:AY84)</f>
        <v/>
      </c>
      <c r="BY84" s="61">
        <f>COUNT(AZ84:BS84)</f>
        <v/>
      </c>
      <c r="BZ84" s="61">
        <f>IF(AND(H84=$BU84,BV84&gt;=INT($BU84/4),BV84&lt;=INT($BU84/4)+IF(MOD($BU84,4)&gt;0,1,0),BW84&gt;=INT($BU84/4),BW84&lt;=INT($BU84/4)+IF(MOD($BU84,4)&gt;0,1,0),BX84&gt;=INT($BU84/4),BX84&lt;=INT($BU84/4)+IF(MOD($BU84,4)&gt;0,1,0),BY84&gt;=INT($BU84/4),BY84&lt;=INT($BU84/4)+IF(MOD($BU84,4)&gt;0,1,0)),"OK","CHECK")</f>
        <v/>
      </c>
    </row>
    <row r="85" ht="15" customHeight="1">
      <c r="A85" s="16" t="inlineStr">
        <is>
          <t>Ayaan Haris</t>
        </is>
      </c>
      <c r="B85" s="16" t="inlineStr">
        <is>
          <t>MKS00092</t>
        </is>
      </c>
      <c r="C85" s="16" t="n">
        <v>4.3</v>
      </c>
      <c r="D85" s="16" t="inlineStr">
        <is>
          <t>Early Intermediate</t>
        </is>
      </c>
      <c r="E85" s="16" t="inlineStr">
        <is>
          <t>G Early Intermediate1</t>
        </is>
      </c>
      <c r="F85" s="16" t="n"/>
      <c r="G85" s="61" t="n">
        <v>12</v>
      </c>
      <c r="H85" s="61">
        <f>COUNT(J85:BS85)</f>
        <v/>
      </c>
      <c r="I85" s="63">
        <f>G85-H85</f>
        <v/>
      </c>
      <c r="J85" s="61" t="n"/>
      <c r="K85" s="61" t="n"/>
      <c r="L85" s="60" t="n">
        <v>0.7916666666666666</v>
      </c>
      <c r="M85" s="61" t="inlineStr">
        <is>
          <t>Dhaanush</t>
        </is>
      </c>
      <c r="N85" s="61" t="n"/>
      <c r="O85" s="61" t="n"/>
      <c r="P85" s="32" t="n">
        <v>0.4166666666666667</v>
      </c>
      <c r="Q85" s="19" t="inlineStr">
        <is>
          <t>Abinaya</t>
        </is>
      </c>
      <c r="R85" s="60" t="n">
        <v>0.7916666666666666</v>
      </c>
      <c r="S85" s="61" t="inlineStr">
        <is>
          <t>Dhaanush</t>
        </is>
      </c>
      <c r="T85" s="61" t="n"/>
      <c r="U85" s="61" t="n"/>
      <c r="V85" s="61" t="n"/>
      <c r="W85" s="61" t="n"/>
      <c r="X85" s="61" t="n"/>
      <c r="Y85" s="61" t="n"/>
      <c r="Z85" s="60" t="n">
        <v>0.7916666666666666</v>
      </c>
      <c r="AA85" s="61" t="inlineStr">
        <is>
          <t>Dhaanush</t>
        </is>
      </c>
      <c r="AB85" s="61" t="n"/>
      <c r="AC85" s="61" t="n"/>
      <c r="AD85" s="32" t="n">
        <v>0.4166666666666667</v>
      </c>
      <c r="AE85" s="19" t="inlineStr">
        <is>
          <t>Abinaya</t>
        </is>
      </c>
      <c r="AF85" s="60" t="n">
        <v>0.7916666666666666</v>
      </c>
      <c r="AG85" s="61" t="inlineStr">
        <is>
          <t>Dhaanush</t>
        </is>
      </c>
      <c r="AH85" s="61" t="n"/>
      <c r="AI85" s="61" t="n"/>
      <c r="AJ85" s="61" t="n"/>
      <c r="AK85" s="61" t="n"/>
      <c r="AL85" s="61" t="n"/>
      <c r="AM85" s="61" t="n"/>
      <c r="AN85" s="60" t="n">
        <v>0.7916666666666666</v>
      </c>
      <c r="AO85" s="61" t="inlineStr">
        <is>
          <t>Dhaanush</t>
        </is>
      </c>
      <c r="AP85" s="61" t="n"/>
      <c r="AQ85" s="61" t="n"/>
      <c r="AR85" s="32" t="n">
        <v>0.4166666666666667</v>
      </c>
      <c r="AS85" s="19" t="inlineStr">
        <is>
          <t>Abinaya</t>
        </is>
      </c>
      <c r="AT85" s="60" t="n">
        <v>0.7916666666666666</v>
      </c>
      <c r="AU85" s="61" t="inlineStr">
        <is>
          <t>Dhaanush</t>
        </is>
      </c>
      <c r="AV85" s="61" t="n"/>
      <c r="AW85" s="61" t="n"/>
      <c r="AX85" s="61" t="n"/>
      <c r="AY85" s="61" t="n"/>
      <c r="AZ85" s="61" t="n"/>
      <c r="BA85" s="61" t="n"/>
      <c r="BB85" s="60" t="n">
        <v>0.7916666666666666</v>
      </c>
      <c r="BC85" s="61" t="inlineStr">
        <is>
          <t>Dhaanush</t>
        </is>
      </c>
      <c r="BD85" s="61" t="n"/>
      <c r="BE85" s="61" t="n"/>
      <c r="BF85" s="32" t="n">
        <v>0.4166666666666667</v>
      </c>
      <c r="BG85" s="19" t="inlineStr">
        <is>
          <t>Abinaya</t>
        </is>
      </c>
      <c r="BH85" s="61" t="n"/>
      <c r="BI85" s="61" t="n"/>
      <c r="BJ85" s="61" t="n"/>
      <c r="BK85" s="61" t="n"/>
      <c r="BL85" s="61" t="n"/>
      <c r="BM85" s="61" t="n"/>
      <c r="BN85" s="61" t="n"/>
      <c r="BO85" s="61" t="n"/>
      <c r="BP85" s="60" t="n">
        <v>0.7916666666666666</v>
      </c>
      <c r="BQ85" s="61" t="inlineStr">
        <is>
          <t>Dhaanush</t>
        </is>
      </c>
      <c r="BR85" s="61" t="n"/>
      <c r="BS85" s="61" t="n"/>
      <c r="BT85" s="16" t="n"/>
      <c r="BU85" s="61">
        <f>MIN(G85,12)</f>
        <v/>
      </c>
      <c r="BV85" s="61">
        <f>COUNT(J85:W85)</f>
        <v/>
      </c>
      <c r="BW85" s="61">
        <f>COUNT(X85:AK85)</f>
        <v/>
      </c>
      <c r="BX85" s="61">
        <f>COUNT(AL85:AY85)</f>
        <v/>
      </c>
      <c r="BY85" s="61">
        <f>COUNT(AZ85:BS85)</f>
        <v/>
      </c>
      <c r="BZ85" s="61">
        <f>IF(AND(H85=$BU85,BV85&gt;=INT($BU85/4),BV85&lt;=INT($BU85/4)+IF(MOD($BU85,4)&gt;0,1,0),BW85&gt;=INT($BU85/4),BW85&lt;=INT($BU85/4)+IF(MOD($BU85,4)&gt;0,1,0),BX85&gt;=INT($BU85/4),BX85&lt;=INT($BU85/4)+IF(MOD($BU85,4)&gt;0,1,0),BY85&gt;=INT($BU85/4),BY85&lt;=INT($BU85/4)+IF(MOD($BU85,4)&gt;0,1,0)),"OK","CHECK")</f>
        <v/>
      </c>
    </row>
    <row r="86" ht="15" customHeight="1">
      <c r="A86" s="16" t="inlineStr">
        <is>
          <t>Abhijay</t>
        </is>
      </c>
      <c r="B86" s="16" t="inlineStr">
        <is>
          <t>MKS00202</t>
        </is>
      </c>
      <c r="C86" s="16" t="n">
        <v>2.8</v>
      </c>
      <c r="D86" s="16" t="inlineStr">
        <is>
          <t>Beginner</t>
        </is>
      </c>
      <c r="E86" s="16" t="inlineStr">
        <is>
          <t>G Beginner2</t>
        </is>
      </c>
      <c r="F86" s="16" t="n"/>
      <c r="G86" s="61" t="n">
        <v>12</v>
      </c>
      <c r="H86" s="61">
        <f>COUNT(J86:BS86)</f>
        <v/>
      </c>
      <c r="I86" s="63">
        <f>G86-H86</f>
        <v/>
      </c>
      <c r="J86" s="61" t="n"/>
      <c r="K86" s="61" t="n"/>
      <c r="L86" s="60" t="n">
        <v>0.7916666666666666</v>
      </c>
      <c r="M86" s="61" t="inlineStr">
        <is>
          <t>Dhaanush</t>
        </is>
      </c>
      <c r="N86" s="61" t="n"/>
      <c r="O86" s="61" t="n"/>
      <c r="P86" s="32" t="n">
        <v>0.4166666666666667</v>
      </c>
      <c r="Q86" s="19" t="inlineStr">
        <is>
          <t>Abinaya</t>
        </is>
      </c>
      <c r="R86" s="60" t="n">
        <v>0.7916666666666666</v>
      </c>
      <c r="S86" s="61" t="inlineStr">
        <is>
          <t>Dhaanush</t>
        </is>
      </c>
      <c r="T86" s="61" t="n"/>
      <c r="U86" s="61" t="n"/>
      <c r="V86" s="61" t="n"/>
      <c r="W86" s="61" t="n"/>
      <c r="X86" s="61" t="n"/>
      <c r="Y86" s="61" t="n"/>
      <c r="Z86" s="60" t="n">
        <v>0.7916666666666666</v>
      </c>
      <c r="AA86" s="61" t="inlineStr">
        <is>
          <t>Dhaanush</t>
        </is>
      </c>
      <c r="AB86" s="61" t="n"/>
      <c r="AC86" s="61" t="n"/>
      <c r="AD86" s="32" t="n">
        <v>0.4166666666666667</v>
      </c>
      <c r="AE86" s="19" t="inlineStr">
        <is>
          <t>Abinaya</t>
        </is>
      </c>
      <c r="AF86" s="60" t="n">
        <v>0.7916666666666666</v>
      </c>
      <c r="AG86" s="61" t="inlineStr">
        <is>
          <t>Dhaanush</t>
        </is>
      </c>
      <c r="AH86" s="61" t="n"/>
      <c r="AI86" s="61" t="n"/>
      <c r="AJ86" s="61" t="n"/>
      <c r="AK86" s="61" t="n"/>
      <c r="AL86" s="61" t="n"/>
      <c r="AM86" s="61" t="n"/>
      <c r="AN86" s="60" t="n">
        <v>0.7916666666666666</v>
      </c>
      <c r="AO86" s="61" t="inlineStr">
        <is>
          <t>Dhaanush</t>
        </is>
      </c>
      <c r="AP86" s="61" t="n"/>
      <c r="AQ86" s="61" t="n"/>
      <c r="AR86" s="32" t="n">
        <v>0.4166666666666667</v>
      </c>
      <c r="AS86" s="19" t="inlineStr">
        <is>
          <t>Abinaya</t>
        </is>
      </c>
      <c r="AT86" s="60" t="n">
        <v>0.7916666666666666</v>
      </c>
      <c r="AU86" s="61" t="inlineStr">
        <is>
          <t>Dhaanush</t>
        </is>
      </c>
      <c r="AV86" s="61" t="n"/>
      <c r="AW86" s="61" t="n"/>
      <c r="AX86" s="61" t="n"/>
      <c r="AY86" s="61" t="n"/>
      <c r="AZ86" s="61" t="n"/>
      <c r="BA86" s="61" t="n"/>
      <c r="BB86" s="60" t="n">
        <v>0.7916666666666666</v>
      </c>
      <c r="BC86" s="61" t="inlineStr">
        <is>
          <t>Dhaanush</t>
        </is>
      </c>
      <c r="BD86" s="61" t="n"/>
      <c r="BE86" s="61" t="n"/>
      <c r="BF86" s="32" t="n">
        <v>0.4166666666666667</v>
      </c>
      <c r="BG86" s="19" t="inlineStr">
        <is>
          <t>Abinaya</t>
        </is>
      </c>
      <c r="BH86" s="60" t="n">
        <v>0.7916666666666666</v>
      </c>
      <c r="BI86" s="61" t="inlineStr">
        <is>
          <t>Dhaanush</t>
        </is>
      </c>
      <c r="BJ86" s="61" t="n"/>
      <c r="BK86" s="61" t="n"/>
      <c r="BL86" s="61" t="n"/>
      <c r="BM86" s="61" t="n"/>
      <c r="BN86" s="61" t="n"/>
      <c r="BO86" s="61" t="n"/>
      <c r="BP86" s="61" t="n"/>
      <c r="BQ86" s="61" t="n"/>
      <c r="BR86" s="61" t="n"/>
      <c r="BS86" s="61" t="n"/>
      <c r="BT86" s="16" t="n"/>
      <c r="BU86" s="61">
        <f>MIN(G86,12)</f>
        <v/>
      </c>
      <c r="BV86" s="61">
        <f>COUNT(J86:W86)</f>
        <v/>
      </c>
      <c r="BW86" s="61">
        <f>COUNT(X86:AK86)</f>
        <v/>
      </c>
      <c r="BX86" s="61">
        <f>COUNT(AL86:AY86)</f>
        <v/>
      </c>
      <c r="BY86" s="61">
        <f>COUNT(AZ86:BS86)</f>
        <v/>
      </c>
      <c r="BZ86" s="61">
        <f>IF(AND(H86=$BU86,BV86&gt;=INT($BU86/4),BV86&lt;=INT($BU86/4)+IF(MOD($BU86,4)&gt;0,1,0),BW86&gt;=INT($BU86/4),BW86&lt;=INT($BU86/4)+IF(MOD($BU86,4)&gt;0,1,0),BX86&gt;=INT($BU86/4),BX86&lt;=INT($BU86/4)+IF(MOD($BU86,4)&gt;0,1,0),BY86&gt;=INT($BU86/4),BY86&lt;=INT($BU86/4)+IF(MOD($BU86,4)&gt;0,1,0)),"OK","CHECK")</f>
        <v/>
      </c>
    </row>
    <row r="87" ht="15" customHeight="1">
      <c r="A87" s="16" t="inlineStr">
        <is>
          <t>Yuviga</t>
        </is>
      </c>
      <c r="B87" s="16" t="inlineStr">
        <is>
          <t>MKS00107</t>
        </is>
      </c>
      <c r="C87" s="16" t="n">
        <v>4.2</v>
      </c>
      <c r="D87" s="16" t="inlineStr">
        <is>
          <t>Early Intermediate</t>
        </is>
      </c>
      <c r="E87" s="16" t="inlineStr">
        <is>
          <t>G Early Intermediate1</t>
        </is>
      </c>
      <c r="F87" s="16" t="n"/>
      <c r="G87" s="61" t="n">
        <v>12</v>
      </c>
      <c r="H87" s="61">
        <f>COUNT(J87:BS87)</f>
        <v/>
      </c>
      <c r="I87" s="63">
        <f>G87-H87</f>
        <v/>
      </c>
      <c r="J87" s="61" t="n"/>
      <c r="K87" s="61" t="n"/>
      <c r="L87" s="60" t="n">
        <v>0.7916666666666666</v>
      </c>
      <c r="M87" s="61" t="inlineStr">
        <is>
          <t>Dhaanush</t>
        </is>
      </c>
      <c r="N87" s="61" t="n"/>
      <c r="O87" s="61" t="n"/>
      <c r="P87" s="32" t="n">
        <v>0.4166666666666667</v>
      </c>
      <c r="Q87" s="19" t="inlineStr">
        <is>
          <t>Abinaya</t>
        </is>
      </c>
      <c r="R87" s="60" t="n">
        <v>0.7916666666666666</v>
      </c>
      <c r="S87" s="61" t="inlineStr">
        <is>
          <t>Dhaanush</t>
        </is>
      </c>
      <c r="T87" s="61" t="n"/>
      <c r="U87" s="61" t="n"/>
      <c r="V87" s="61" t="n"/>
      <c r="W87" s="61" t="n"/>
      <c r="X87" s="61" t="n"/>
      <c r="Y87" s="61" t="n"/>
      <c r="Z87" s="60" t="n">
        <v>0.7916666666666666</v>
      </c>
      <c r="AA87" s="61" t="inlineStr">
        <is>
          <t>Dhaanush</t>
        </is>
      </c>
      <c r="AB87" s="61" t="n"/>
      <c r="AC87" s="61" t="n"/>
      <c r="AD87" s="32" t="n">
        <v>0.4166666666666667</v>
      </c>
      <c r="AE87" s="19" t="inlineStr">
        <is>
          <t>Abinaya</t>
        </is>
      </c>
      <c r="AF87" s="60" t="n">
        <v>0.7916666666666666</v>
      </c>
      <c r="AG87" s="61" t="inlineStr">
        <is>
          <t>Dhaanush</t>
        </is>
      </c>
      <c r="AH87" s="61" t="n"/>
      <c r="AI87" s="61" t="n"/>
      <c r="AJ87" s="61" t="n"/>
      <c r="AK87" s="61" t="n"/>
      <c r="AL87" s="61" t="n"/>
      <c r="AM87" s="61" t="n"/>
      <c r="AN87" s="60" t="n">
        <v>0.7916666666666666</v>
      </c>
      <c r="AO87" s="61" t="inlineStr">
        <is>
          <t>Dhaanush</t>
        </is>
      </c>
      <c r="AP87" s="61" t="n"/>
      <c r="AQ87" s="61" t="n"/>
      <c r="AR87" s="32" t="n">
        <v>0.4166666666666667</v>
      </c>
      <c r="AS87" s="19" t="inlineStr">
        <is>
          <t>Abinaya</t>
        </is>
      </c>
      <c r="AT87" s="60" t="n">
        <v>0.7916666666666666</v>
      </c>
      <c r="AU87" s="61" t="inlineStr">
        <is>
          <t>Dhaanush</t>
        </is>
      </c>
      <c r="AV87" s="61" t="n"/>
      <c r="AW87" s="61" t="n"/>
      <c r="AX87" s="61" t="n"/>
      <c r="AY87" s="61" t="n"/>
      <c r="AZ87" s="61" t="n"/>
      <c r="BA87" s="61" t="n"/>
      <c r="BB87" s="60" t="n">
        <v>0.7916666666666666</v>
      </c>
      <c r="BC87" s="61" t="inlineStr">
        <is>
          <t>Dhaanush</t>
        </is>
      </c>
      <c r="BD87" s="61" t="n"/>
      <c r="BE87" s="61" t="n"/>
      <c r="BF87" s="32" t="n">
        <v>0.4166666666666667</v>
      </c>
      <c r="BG87" s="19" t="inlineStr">
        <is>
          <t>Abinaya</t>
        </is>
      </c>
      <c r="BH87" s="60" t="n">
        <v>0.7916666666666666</v>
      </c>
      <c r="BI87" s="61" t="inlineStr">
        <is>
          <t>Dhaanush</t>
        </is>
      </c>
      <c r="BJ87" s="61" t="n"/>
      <c r="BK87" s="61" t="n"/>
      <c r="BL87" s="61" t="n"/>
      <c r="BM87" s="61" t="n"/>
      <c r="BN87" s="61" t="n"/>
      <c r="BO87" s="61" t="n"/>
      <c r="BP87" s="61" t="n"/>
      <c r="BQ87" s="61" t="n"/>
      <c r="BR87" s="61" t="n"/>
      <c r="BS87" s="61" t="n"/>
      <c r="BT87" s="16" t="n"/>
      <c r="BU87" s="61">
        <f>MIN(G87,12)</f>
        <v/>
      </c>
      <c r="BV87" s="61">
        <f>COUNT(J87:W87)</f>
        <v/>
      </c>
      <c r="BW87" s="61">
        <f>COUNT(X87:AK87)</f>
        <v/>
      </c>
      <c r="BX87" s="61">
        <f>COUNT(AL87:AY87)</f>
        <v/>
      </c>
      <c r="BY87" s="61">
        <f>COUNT(AZ87:BS87)</f>
        <v/>
      </c>
      <c r="BZ87" s="61">
        <f>IF(AND(H87=$BU87,BV87&gt;=INT($BU87/4),BV87&lt;=INT($BU87/4)+IF(MOD($BU87,4)&gt;0,1,0),BW87&gt;=INT($BU87/4),BW87&lt;=INT($BU87/4)+IF(MOD($BU87,4)&gt;0,1,0),BX87&gt;=INT($BU87/4),BX87&lt;=INT($BU87/4)+IF(MOD($BU87,4)&gt;0,1,0),BY87&gt;=INT($BU87/4),BY87&lt;=INT($BU87/4)+IF(MOD($BU87,4)&gt;0,1,0)),"OK","CHECK")</f>
        <v/>
      </c>
    </row>
    <row r="88" ht="15" customHeight="1">
      <c r="A88" s="16" t="inlineStr">
        <is>
          <t>B SARVESSH</t>
        </is>
      </c>
      <c r="B88" s="16" t="inlineStr">
        <is>
          <t>MKS00108</t>
        </is>
      </c>
      <c r="C88" s="16" t="n">
        <v>4.1</v>
      </c>
      <c r="D88" s="16" t="inlineStr">
        <is>
          <t>Early Intermediate</t>
        </is>
      </c>
      <c r="E88" s="16" t="inlineStr">
        <is>
          <t>G Early Intermediate1</t>
        </is>
      </c>
      <c r="F88" s="16" t="n"/>
      <c r="G88" s="61" t="n">
        <v>12</v>
      </c>
      <c r="H88" s="61">
        <f>COUNT(J88:BS88)</f>
        <v/>
      </c>
      <c r="I88" s="63">
        <f>G88-H88</f>
        <v/>
      </c>
      <c r="J88" s="61" t="n"/>
      <c r="K88" s="61" t="n"/>
      <c r="L88" s="60" t="n">
        <v>0.7916666666666666</v>
      </c>
      <c r="M88" s="61" t="inlineStr">
        <is>
          <t>Dhaanush</t>
        </is>
      </c>
      <c r="N88" s="61" t="n"/>
      <c r="O88" s="61" t="n"/>
      <c r="P88" s="32" t="n">
        <v>0.4166666666666667</v>
      </c>
      <c r="Q88" s="19" t="inlineStr">
        <is>
          <t>Abinaya</t>
        </is>
      </c>
      <c r="R88" s="60" t="n">
        <v>0.7916666666666666</v>
      </c>
      <c r="S88" s="61" t="inlineStr">
        <is>
          <t>Dhaanush</t>
        </is>
      </c>
      <c r="T88" s="61" t="n"/>
      <c r="U88" s="61" t="n"/>
      <c r="V88" s="61" t="n"/>
      <c r="W88" s="61" t="n"/>
      <c r="X88" s="61" t="n"/>
      <c r="Y88" s="61" t="n"/>
      <c r="Z88" s="60" t="n">
        <v>0.7916666666666666</v>
      </c>
      <c r="AA88" s="61" t="inlineStr">
        <is>
          <t>Dhaanush</t>
        </is>
      </c>
      <c r="AB88" s="61" t="n"/>
      <c r="AC88" s="61" t="n"/>
      <c r="AD88" s="32" t="n">
        <v>0.4166666666666667</v>
      </c>
      <c r="AE88" s="19" t="inlineStr">
        <is>
          <t>Abinaya</t>
        </is>
      </c>
      <c r="AF88" s="60" t="n">
        <v>0.7916666666666666</v>
      </c>
      <c r="AG88" s="61" t="inlineStr">
        <is>
          <t>Dhaanush</t>
        </is>
      </c>
      <c r="AH88" s="61" t="n"/>
      <c r="AI88" s="61" t="n"/>
      <c r="AJ88" s="61" t="n"/>
      <c r="AK88" s="61" t="n"/>
      <c r="AL88" s="61" t="n"/>
      <c r="AM88" s="61" t="n"/>
      <c r="AN88" s="60" t="n">
        <v>0.7916666666666666</v>
      </c>
      <c r="AO88" s="61" t="inlineStr">
        <is>
          <t>Dhaanush</t>
        </is>
      </c>
      <c r="AP88" s="61" t="n"/>
      <c r="AQ88" s="61" t="n"/>
      <c r="AR88" s="32" t="n">
        <v>0.4166666666666667</v>
      </c>
      <c r="AS88" s="19" t="inlineStr">
        <is>
          <t>Abinaya</t>
        </is>
      </c>
      <c r="AT88" s="60" t="n">
        <v>0.7916666666666666</v>
      </c>
      <c r="AU88" s="61" t="inlineStr">
        <is>
          <t>Dhaanush</t>
        </is>
      </c>
      <c r="AV88" s="61" t="n"/>
      <c r="AW88" s="61" t="n"/>
      <c r="AX88" s="61" t="n"/>
      <c r="AY88" s="61" t="n"/>
      <c r="AZ88" s="61" t="n"/>
      <c r="BA88" s="61" t="n"/>
      <c r="BB88" s="60" t="n">
        <v>0.7916666666666666</v>
      </c>
      <c r="BC88" s="61" t="inlineStr">
        <is>
          <t>Dhaanush</t>
        </is>
      </c>
      <c r="BD88" s="61" t="n"/>
      <c r="BE88" s="61" t="n"/>
      <c r="BF88" s="32" t="n">
        <v>0.4166666666666667</v>
      </c>
      <c r="BG88" s="19" t="inlineStr">
        <is>
          <t>Abinaya</t>
        </is>
      </c>
      <c r="BH88" s="60" t="n">
        <v>0.7916666666666666</v>
      </c>
      <c r="BI88" s="61" t="inlineStr">
        <is>
          <t>Dhaanush</t>
        </is>
      </c>
      <c r="BJ88" s="61" t="n"/>
      <c r="BK88" s="61" t="n"/>
      <c r="BL88" s="61" t="n"/>
      <c r="BM88" s="61" t="n"/>
      <c r="BN88" s="61" t="n"/>
      <c r="BO88" s="61" t="n"/>
      <c r="BP88" s="61" t="n"/>
      <c r="BQ88" s="61" t="n"/>
      <c r="BR88" s="61" t="n"/>
      <c r="BS88" s="61" t="n"/>
      <c r="BT88" s="16" t="n"/>
      <c r="BU88" s="61">
        <f>MIN(G88,12)</f>
        <v/>
      </c>
      <c r="BV88" s="61">
        <f>COUNT(J88:W88)</f>
        <v/>
      </c>
      <c r="BW88" s="61">
        <f>COUNT(X88:AK88)</f>
        <v/>
      </c>
      <c r="BX88" s="61">
        <f>COUNT(AL88:AY88)</f>
        <v/>
      </c>
      <c r="BY88" s="61">
        <f>COUNT(AZ88:BS88)</f>
        <v/>
      </c>
      <c r="BZ88" s="61">
        <f>IF(AND(H88=$BU88,BV88&gt;=INT($BU88/4),BV88&lt;=INT($BU88/4)+IF(MOD($BU88,4)&gt;0,1,0),BW88&gt;=INT($BU88/4),BW88&lt;=INT($BU88/4)+IF(MOD($BU88,4)&gt;0,1,0),BX88&gt;=INT($BU88/4),BX88&lt;=INT($BU88/4)+IF(MOD($BU88,4)&gt;0,1,0),BY88&gt;=INT($BU88/4),BY88&lt;=INT($BU88/4)+IF(MOD($BU88,4)&gt;0,1,0)),"OK","CHECK")</f>
        <v/>
      </c>
    </row>
    <row r="89" ht="15" customHeight="1">
      <c r="A89" s="16" t="inlineStr">
        <is>
          <t>Adhigan Amarnath</t>
        </is>
      </c>
      <c r="B89" s="16" t="inlineStr">
        <is>
          <t>MKS00204</t>
        </is>
      </c>
      <c r="C89" s="16" t="n">
        <v>1.3</v>
      </c>
      <c r="D89" s="16" t="inlineStr">
        <is>
          <t>Basic</t>
        </is>
      </c>
      <c r="E89" s="16" t="inlineStr">
        <is>
          <t>L Basic2</t>
        </is>
      </c>
      <c r="F89" s="16" t="inlineStr">
        <is>
          <t>Level Basic1 &amp; 2 should not be mingled</t>
        </is>
      </c>
      <c r="G89" s="61" t="n">
        <v>12</v>
      </c>
      <c r="H89" s="61">
        <f>COUNT(J89:BS89)</f>
        <v/>
      </c>
      <c r="I89" s="63">
        <f>G89-H89</f>
        <v/>
      </c>
      <c r="J89" s="61" t="n"/>
      <c r="K89" s="61" t="n"/>
      <c r="L89" s="83" t="n">
        <v>0.8333333333333334</v>
      </c>
      <c r="M89" s="84" t="inlineStr">
        <is>
          <t>Manikandan</t>
        </is>
      </c>
      <c r="N89" s="60" t="n">
        <v>0.7916666666666666</v>
      </c>
      <c r="O89" s="61" t="inlineStr">
        <is>
          <t>Abinaya</t>
        </is>
      </c>
      <c r="P89" s="32" t="n">
        <v>0.4583333333333333</v>
      </c>
      <c r="Q89" s="19" t="inlineStr">
        <is>
          <t>Abinaya</t>
        </is>
      </c>
      <c r="R89" s="60" t="n"/>
      <c r="S89" s="61" t="n"/>
      <c r="T89" s="61" t="n"/>
      <c r="U89" s="61" t="n"/>
      <c r="V89" s="61" t="n"/>
      <c r="W89" s="61" t="n"/>
      <c r="X89" s="61" t="n"/>
      <c r="Y89" s="61" t="n"/>
      <c r="Z89" s="61" t="n"/>
      <c r="AA89" s="61" t="n"/>
      <c r="AB89" s="60" t="n">
        <v>0.7916666666666666</v>
      </c>
      <c r="AC89" s="61" t="inlineStr">
        <is>
          <t>Abinaya</t>
        </is>
      </c>
      <c r="AD89" s="32" t="n">
        <v>0.4583333333333333</v>
      </c>
      <c r="AE89" s="19" t="inlineStr">
        <is>
          <t>Abinaya</t>
        </is>
      </c>
      <c r="AF89" s="61" t="n"/>
      <c r="AG89" s="61" t="n"/>
      <c r="AH89" s="60" t="n"/>
      <c r="AI89" s="61" t="n"/>
      <c r="AJ89" s="83" t="n">
        <v>0.7083333333333334</v>
      </c>
      <c r="AK89" s="84" t="inlineStr">
        <is>
          <t>Prakash</t>
        </is>
      </c>
      <c r="AL89" s="61" t="n"/>
      <c r="AM89" s="61" t="n"/>
      <c r="AN89" s="83" t="n">
        <v>0.8333333333333334</v>
      </c>
      <c r="AO89" s="84" t="inlineStr">
        <is>
          <t>Manikandan</t>
        </is>
      </c>
      <c r="AP89" s="61" t="n"/>
      <c r="AQ89" s="61" t="n"/>
      <c r="AR89" s="32" t="n">
        <v>0.4583333333333333</v>
      </c>
      <c r="AS89" s="19" t="inlineStr">
        <is>
          <t>Abinaya</t>
        </is>
      </c>
      <c r="AT89" s="61" t="n"/>
      <c r="AU89" s="61" t="n"/>
      <c r="AV89" s="60" t="n"/>
      <c r="AW89" s="61" t="n"/>
      <c r="AX89" s="83" t="n">
        <v>0.7083333333333334</v>
      </c>
      <c r="AY89" s="84" t="inlineStr">
        <is>
          <t>Prakash</t>
        </is>
      </c>
      <c r="AZ89" s="61" t="n"/>
      <c r="BA89" s="61" t="n"/>
      <c r="BB89" s="61" t="n"/>
      <c r="BC89" s="61" t="n"/>
      <c r="BD89" s="60" t="n">
        <v>0.7916666666666666</v>
      </c>
      <c r="BE89" s="61" t="inlineStr">
        <is>
          <t>Abinaya</t>
        </is>
      </c>
      <c r="BF89" s="32" t="n">
        <v>0.4583333333333333</v>
      </c>
      <c r="BG89" s="19" t="inlineStr">
        <is>
          <t>Abinaya</t>
        </is>
      </c>
      <c r="BH89" s="61" t="n"/>
      <c r="BI89" s="61" t="n"/>
      <c r="BJ89" s="60" t="n">
        <v>0.7916666666666666</v>
      </c>
      <c r="BK89" s="61" t="inlineStr">
        <is>
          <t>Abinaya</t>
        </is>
      </c>
      <c r="BL89" s="61" t="n"/>
      <c r="BM89" s="61" t="n"/>
      <c r="BN89" s="61" t="n"/>
      <c r="BO89" s="61" t="n"/>
      <c r="BP89" s="61" t="n"/>
      <c r="BQ89" s="61" t="n"/>
      <c r="BR89" s="61" t="n"/>
      <c r="BS89" s="61" t="n"/>
      <c r="BT89" s="16" t="n"/>
      <c r="BU89" s="61">
        <f>MIN(G89,12)</f>
        <v/>
      </c>
      <c r="BV89" s="61">
        <f>COUNT(J89:W89)</f>
        <v/>
      </c>
      <c r="BW89" s="61">
        <f>COUNT(X89:AK89)</f>
        <v/>
      </c>
      <c r="BX89" s="61">
        <f>COUNT(AL89:AY89)</f>
        <v/>
      </c>
      <c r="BY89" s="61">
        <f>COUNT(AZ89:BS89)</f>
        <v/>
      </c>
      <c r="BZ89" s="61">
        <f>IF(AND(H89=$BU89,BV89&gt;=INT($BU89/4),BV89&lt;=INT($BU89/4)+IF(MOD($BU89,4)&gt;0,1,0),BW89&gt;=INT($BU89/4),BW89&lt;=INT($BU89/4)+IF(MOD($BU89,4)&gt;0,1,0),BX89&gt;=INT($BU89/4),BX89&lt;=INT($BU89/4)+IF(MOD($BU89,4)&gt;0,1,0),BY89&gt;=INT($BU89/4),BY89&lt;=INT($BU89/4)+IF(MOD($BU89,4)&gt;0,1,0)),"OK","CHECK")</f>
        <v/>
      </c>
    </row>
    <row r="90" ht="15" customHeight="1">
      <c r="A90" s="16" t="inlineStr">
        <is>
          <t>Hitesh prabu</t>
        </is>
      </c>
      <c r="B90" s="16" t="inlineStr">
        <is>
          <t>MKS00014</t>
        </is>
      </c>
      <c r="C90" s="16" t="n">
        <v>4.7</v>
      </c>
      <c r="D90" s="28" t="inlineStr">
        <is>
          <t>Early Intermediate</t>
        </is>
      </c>
      <c r="E90" s="28" t="inlineStr">
        <is>
          <t>G Early Intermediate2</t>
        </is>
      </c>
      <c r="F90" s="16" t="inlineStr">
        <is>
          <t>Should be in all Sunday Tournaments</t>
        </is>
      </c>
      <c r="G90" s="61" t="n">
        <v>12</v>
      </c>
      <c r="H90" s="61">
        <f>COUNT(J90:BS90)</f>
        <v/>
      </c>
      <c r="I90" s="63">
        <f>G90-H90</f>
        <v/>
      </c>
      <c r="J90" s="61" t="n"/>
      <c r="K90" s="61" t="n"/>
      <c r="L90" s="61" t="n"/>
      <c r="M90" s="61" t="n"/>
      <c r="N90" s="60" t="n">
        <v>0.7916666666666666</v>
      </c>
      <c r="O90" s="61" t="inlineStr">
        <is>
          <t>Dhaanush</t>
        </is>
      </c>
      <c r="P90" s="32" t="n">
        <v>0.4166666666666667</v>
      </c>
      <c r="Q90" s="19" t="inlineStr">
        <is>
          <t>Abinaya</t>
        </is>
      </c>
      <c r="R90" s="24" t="n">
        <v>0.8333333333333334</v>
      </c>
      <c r="S90" s="25" t="inlineStr">
        <is>
          <t>Dhaanush</t>
        </is>
      </c>
      <c r="T90" s="61" t="n"/>
      <c r="U90" s="61" t="n"/>
      <c r="V90" s="61" t="n"/>
      <c r="W90" s="61" t="n"/>
      <c r="X90" s="61" t="n"/>
      <c r="Y90" s="61" t="n"/>
      <c r="Z90" s="61" t="n"/>
      <c r="AA90" s="61" t="n"/>
      <c r="AB90" s="60" t="n">
        <v>0.7916666666666666</v>
      </c>
      <c r="AC90" s="61" t="inlineStr">
        <is>
          <t>Dhaanush</t>
        </is>
      </c>
      <c r="AD90" s="32" t="n">
        <v>0.4166666666666667</v>
      </c>
      <c r="AE90" s="19" t="inlineStr">
        <is>
          <t>Abinaya</t>
        </is>
      </c>
      <c r="AF90" s="61" t="n"/>
      <c r="AG90" s="61" t="n"/>
      <c r="AH90" s="24" t="n">
        <v>0.8333333333333334</v>
      </c>
      <c r="AI90" s="25" t="inlineStr">
        <is>
          <t>Dhaanush</t>
        </is>
      </c>
      <c r="AJ90" s="61" t="n"/>
      <c r="AK90" s="61" t="n"/>
      <c r="AL90" s="61" t="n"/>
      <c r="AM90" s="61" t="n"/>
      <c r="AN90" s="61" t="n"/>
      <c r="AO90" s="61" t="n"/>
      <c r="AP90" s="60" t="n">
        <v>0.7916666666666666</v>
      </c>
      <c r="AQ90" s="61" t="inlineStr">
        <is>
          <t>Dhaanush</t>
        </is>
      </c>
      <c r="AR90" s="19" t="n"/>
      <c r="AS90" s="19" t="n"/>
      <c r="AT90" s="24" t="n">
        <v>0.8333333333333334</v>
      </c>
      <c r="AU90" s="25" t="inlineStr">
        <is>
          <t>Dhaanush</t>
        </is>
      </c>
      <c r="AV90" s="24" t="n">
        <v>0.8333333333333334</v>
      </c>
      <c r="AW90" s="25" t="inlineStr">
        <is>
          <t>Dhaanush</t>
        </is>
      </c>
      <c r="AX90" s="61" t="n"/>
      <c r="AY90" s="61" t="n"/>
      <c r="AZ90" s="61" t="n"/>
      <c r="BA90" s="61" t="n"/>
      <c r="BB90" s="61" t="n"/>
      <c r="BC90" s="61" t="n"/>
      <c r="BD90" s="60" t="n">
        <v>0.7916666666666666</v>
      </c>
      <c r="BE90" s="61" t="inlineStr">
        <is>
          <t>Dhaanush</t>
        </is>
      </c>
      <c r="BF90" s="32" t="n">
        <v>0.4166666666666667</v>
      </c>
      <c r="BG90" s="19" t="inlineStr">
        <is>
          <t>Abinaya</t>
        </is>
      </c>
      <c r="BH90" s="61" t="n"/>
      <c r="BI90" s="61" t="n"/>
      <c r="BJ90" s="61" t="n"/>
      <c r="BK90" s="61" t="n"/>
      <c r="BL90" s="61" t="n"/>
      <c r="BM90" s="61" t="n"/>
      <c r="BN90" s="61" t="n"/>
      <c r="BO90" s="61" t="n"/>
      <c r="BP90" s="61" t="n"/>
      <c r="BQ90" s="61" t="n"/>
      <c r="BR90" s="60" t="n">
        <v>0.7916666666666666</v>
      </c>
      <c r="BS90" s="61" t="inlineStr">
        <is>
          <t>Dhaanush</t>
        </is>
      </c>
      <c r="BT90" s="16" t="inlineStr">
        <is>
          <t>weekday 8-9, satu &amp; sunda-ok</t>
        </is>
      </c>
      <c r="BU90" s="61">
        <f>MIN(G90,12)</f>
        <v/>
      </c>
      <c r="BV90" s="61">
        <f>COUNT(J90:W90)</f>
        <v/>
      </c>
      <c r="BW90" s="61">
        <f>COUNT(X90:AK90)</f>
        <v/>
      </c>
      <c r="BX90" s="61">
        <f>COUNT(AL90:AY90)</f>
        <v/>
      </c>
      <c r="BY90" s="61">
        <f>COUNT(AZ90:BS90)</f>
        <v/>
      </c>
      <c r="BZ90" s="61">
        <f>IF(AND(H90=$BU90,BV90&gt;=INT($BU90/4),BV90&lt;=INT($BU90/4)+IF(MOD($BU90,4)&gt;0,1,0),BW90&gt;=INT($BU90/4),BW90&lt;=INT($BU90/4)+IF(MOD($BU90,4)&gt;0,1,0),BX90&gt;=INT($BU90/4),BX90&lt;=INT($BU90/4)+IF(MOD($BU90,4)&gt;0,1,0),BY90&gt;=INT($BU90/4),BY90&lt;=INT($BU90/4)+IF(MOD($BU90,4)&gt;0,1,0)),"OK","CHECK")</f>
        <v/>
      </c>
    </row>
    <row r="91" ht="15" customHeight="1">
      <c r="A91" s="16" t="inlineStr">
        <is>
          <t>D KAVISH</t>
        </is>
      </c>
      <c r="B91" s="16" t="inlineStr">
        <is>
          <t>MKS00079</t>
        </is>
      </c>
      <c r="C91" s="16" t="n">
        <v>4.2</v>
      </c>
      <c r="D91" s="28" t="inlineStr">
        <is>
          <t>Beginner</t>
        </is>
      </c>
      <c r="E91" s="28" t="inlineStr">
        <is>
          <t>G Beginner2</t>
        </is>
      </c>
      <c r="F91" s="16" t="n"/>
      <c r="G91" s="61" t="n">
        <v>12</v>
      </c>
      <c r="H91" s="61">
        <f>COUNT(J91:BS91)</f>
        <v/>
      </c>
      <c r="I91" s="63">
        <f>G91-H91</f>
        <v/>
      </c>
      <c r="J91" s="61" t="n"/>
      <c r="K91" s="61" t="n"/>
      <c r="L91" s="61" t="n"/>
      <c r="M91" s="61" t="n"/>
      <c r="N91" s="60" t="n">
        <v>0.8333333333333334</v>
      </c>
      <c r="O91" s="61" t="inlineStr">
        <is>
          <t>Guru</t>
        </is>
      </c>
      <c r="P91" s="32" t="n">
        <v>0.4166666666666667</v>
      </c>
      <c r="Q91" s="19" t="inlineStr">
        <is>
          <t>Abinaya</t>
        </is>
      </c>
      <c r="R91" s="60" t="n">
        <v>0.8333333333333334</v>
      </c>
      <c r="S91" s="61" t="inlineStr">
        <is>
          <t>Guru</t>
        </is>
      </c>
      <c r="T91" s="61" t="n"/>
      <c r="U91" s="61" t="n"/>
      <c r="V91" s="61" t="n"/>
      <c r="W91" s="61" t="n"/>
      <c r="X91" s="61" t="n"/>
      <c r="Y91" s="61" t="n"/>
      <c r="Z91" s="61" t="n"/>
      <c r="AA91" s="61" t="n"/>
      <c r="AB91" s="60" t="n">
        <v>0.8333333333333334</v>
      </c>
      <c r="AC91" s="61" t="inlineStr">
        <is>
          <t>Guru</t>
        </is>
      </c>
      <c r="AD91" s="32" t="n">
        <v>0.4166666666666667</v>
      </c>
      <c r="AE91" s="19" t="inlineStr">
        <is>
          <t>Abinaya</t>
        </is>
      </c>
      <c r="AF91" s="60" t="n">
        <v>0.8333333333333334</v>
      </c>
      <c r="AG91" s="61" t="inlineStr">
        <is>
          <t>Guru</t>
        </is>
      </c>
      <c r="AH91" s="61" t="n"/>
      <c r="AI91" s="61" t="n"/>
      <c r="AJ91" s="61" t="n"/>
      <c r="AK91" s="61" t="n"/>
      <c r="AL91" s="61" t="n"/>
      <c r="AM91" s="61" t="n"/>
      <c r="AN91" s="61" t="n"/>
      <c r="AO91" s="61" t="n"/>
      <c r="AP91" s="60" t="n">
        <v>0.8333333333333334</v>
      </c>
      <c r="AQ91" s="61" t="inlineStr">
        <is>
          <t>Guru</t>
        </is>
      </c>
      <c r="AR91" s="32" t="n">
        <v>0.4166666666666667</v>
      </c>
      <c r="AS91" s="19" t="inlineStr">
        <is>
          <t>Abinaya</t>
        </is>
      </c>
      <c r="AT91" s="60" t="n">
        <v>0.8333333333333334</v>
      </c>
      <c r="AU91" s="61" t="inlineStr">
        <is>
          <t>Guru</t>
        </is>
      </c>
      <c r="AV91" s="61" t="n"/>
      <c r="AW91" s="61" t="n"/>
      <c r="AX91" s="61" t="n"/>
      <c r="AY91" s="61" t="n"/>
      <c r="AZ91" s="61" t="n"/>
      <c r="BA91" s="61" t="n"/>
      <c r="BB91" s="61" t="n"/>
      <c r="BC91" s="61" t="n"/>
      <c r="BD91" s="60" t="n">
        <v>0.8333333333333334</v>
      </c>
      <c r="BE91" s="61" t="inlineStr">
        <is>
          <t>Guru</t>
        </is>
      </c>
      <c r="BF91" s="19" t="n"/>
      <c r="BG91" s="19" t="n"/>
      <c r="BH91" s="60" t="n">
        <v>0.8333333333333334</v>
      </c>
      <c r="BI91" s="61" t="inlineStr">
        <is>
          <t>Guru</t>
        </is>
      </c>
      <c r="BJ91" s="61" t="n"/>
      <c r="BK91" s="61" t="n"/>
      <c r="BL91" s="61" t="n"/>
      <c r="BM91" s="61" t="n"/>
      <c r="BN91" s="61" t="n"/>
      <c r="BO91" s="61" t="n"/>
      <c r="BP91" s="61" t="n"/>
      <c r="BQ91" s="61" t="n"/>
      <c r="BR91" s="60" t="n">
        <v>0.8333333333333334</v>
      </c>
      <c r="BS91" s="61" t="inlineStr">
        <is>
          <t>Guru</t>
        </is>
      </c>
      <c r="BT91" s="16" t="n"/>
      <c r="BU91" s="61">
        <f>MIN(G91,12)</f>
        <v/>
      </c>
      <c r="BV91" s="61">
        <f>COUNT(J91:W91)</f>
        <v/>
      </c>
      <c r="BW91" s="61">
        <f>COUNT(X91:AK91)</f>
        <v/>
      </c>
      <c r="BX91" s="61">
        <f>COUNT(AL91:AY91)</f>
        <v/>
      </c>
      <c r="BY91" s="61">
        <f>COUNT(AZ91:BS91)</f>
        <v/>
      </c>
      <c r="BZ91" s="61">
        <f>IF(AND(H91=$BU91,BV91&gt;=INT($BU91/4),BV91&lt;=INT($BU91/4)+IF(MOD($BU91,4)&gt;0,1,0),BW91&gt;=INT($BU91/4),BW91&lt;=INT($BU91/4)+IF(MOD($BU91,4)&gt;0,1,0),BX91&gt;=INT($BU91/4),BX91&lt;=INT($BU91/4)+IF(MOD($BU91,4)&gt;0,1,0),BY91&gt;=INT($BU91/4),BY91&lt;=INT($BU91/4)+IF(MOD($BU91,4)&gt;0,1,0)),"OK","CHECK")</f>
        <v/>
      </c>
    </row>
    <row r="92" ht="15" customHeight="1">
      <c r="A92" s="16" t="inlineStr">
        <is>
          <t>V.Pranav</t>
        </is>
      </c>
      <c r="B92" s="16" t="inlineStr">
        <is>
          <t>MKS00173</t>
        </is>
      </c>
      <c r="C92" s="16" t="n">
        <v>3.5</v>
      </c>
      <c r="D92" s="16" t="inlineStr">
        <is>
          <t>Early Intermediate</t>
        </is>
      </c>
      <c r="E92" s="16" t="inlineStr">
        <is>
          <t>G Early Intermediate1A</t>
        </is>
      </c>
      <c r="F92" s="16" t="n"/>
      <c r="G92" s="61" t="n">
        <v>12</v>
      </c>
      <c r="H92" s="61">
        <f>COUNT(J92:BS92)</f>
        <v/>
      </c>
      <c r="I92" s="63">
        <f>G92-H92</f>
        <v/>
      </c>
      <c r="J92" s="61" t="n"/>
      <c r="K92" s="61" t="n"/>
      <c r="L92" s="60" t="n">
        <v>0.8333333333333334</v>
      </c>
      <c r="M92" s="61" t="inlineStr">
        <is>
          <t>Dhaanush</t>
        </is>
      </c>
      <c r="N92" s="61" t="n"/>
      <c r="O92" s="61" t="n"/>
      <c r="P92" s="32" t="n">
        <v>0.4166666666666667</v>
      </c>
      <c r="Q92" s="19" t="inlineStr">
        <is>
          <t>Abinaya</t>
        </is>
      </c>
      <c r="R92" s="60" t="n">
        <v>0.8333333333333334</v>
      </c>
      <c r="S92" s="61" t="inlineStr">
        <is>
          <t>Dhaanush</t>
        </is>
      </c>
      <c r="T92" s="61" t="n"/>
      <c r="U92" s="61" t="n"/>
      <c r="V92" s="61" t="n"/>
      <c r="W92" s="61" t="n"/>
      <c r="X92" s="61" t="n"/>
      <c r="Y92" s="61" t="n"/>
      <c r="Z92" s="60" t="n">
        <v>0.8333333333333334</v>
      </c>
      <c r="AA92" s="61" t="inlineStr">
        <is>
          <t>Dhaanush</t>
        </is>
      </c>
      <c r="AB92" s="61" t="n"/>
      <c r="AC92" s="61" t="n"/>
      <c r="AD92" s="32" t="n">
        <v>0.4166666666666667</v>
      </c>
      <c r="AE92" s="19" t="inlineStr">
        <is>
          <t>Abinaya</t>
        </is>
      </c>
      <c r="AF92" s="60" t="n">
        <v>0.8333333333333334</v>
      </c>
      <c r="AG92" s="61" t="inlineStr">
        <is>
          <t>Dhaanush</t>
        </is>
      </c>
      <c r="AH92" s="61" t="n"/>
      <c r="AI92" s="61" t="n"/>
      <c r="AJ92" s="61" t="n"/>
      <c r="AK92" s="61" t="n"/>
      <c r="AL92" s="61" t="n"/>
      <c r="AM92" s="61" t="n"/>
      <c r="AN92" s="60" t="n">
        <v>0.8333333333333334</v>
      </c>
      <c r="AO92" s="61" t="inlineStr">
        <is>
          <t>Dhaanush</t>
        </is>
      </c>
      <c r="AP92" s="61" t="n"/>
      <c r="AQ92" s="61" t="n"/>
      <c r="AR92" s="32" t="n">
        <v>0.4166666666666667</v>
      </c>
      <c r="AS92" s="19" t="inlineStr">
        <is>
          <t>Abinaya</t>
        </is>
      </c>
      <c r="AT92" s="60" t="n">
        <v>0.8333333333333334</v>
      </c>
      <c r="AU92" s="61" t="inlineStr">
        <is>
          <t>Dhaanush</t>
        </is>
      </c>
      <c r="AV92" s="61" t="n"/>
      <c r="AW92" s="61" t="n"/>
      <c r="AX92" s="61" t="n"/>
      <c r="AY92" s="61" t="n"/>
      <c r="AZ92" s="61" t="n"/>
      <c r="BA92" s="61" t="n"/>
      <c r="BB92" s="60" t="n">
        <v>0.8333333333333334</v>
      </c>
      <c r="BC92" s="61" t="inlineStr">
        <is>
          <t>Dhaanush</t>
        </is>
      </c>
      <c r="BD92" s="61" t="n"/>
      <c r="BE92" s="61" t="n"/>
      <c r="BF92" s="19" t="n"/>
      <c r="BG92" s="19" t="n"/>
      <c r="BH92" s="60" t="n">
        <v>0.8333333333333334</v>
      </c>
      <c r="BI92" s="61" t="inlineStr">
        <is>
          <t>Dhaanush</t>
        </is>
      </c>
      <c r="BJ92" s="61" t="n"/>
      <c r="BK92" s="61" t="n"/>
      <c r="BL92" s="61" t="n"/>
      <c r="BM92" s="61" t="n"/>
      <c r="BN92" s="61" t="n"/>
      <c r="BO92" s="61" t="n"/>
      <c r="BP92" s="60" t="n">
        <v>0.8333333333333334</v>
      </c>
      <c r="BQ92" s="61" t="inlineStr">
        <is>
          <t>Dhaanush</t>
        </is>
      </c>
      <c r="BR92" s="61" t="n"/>
      <c r="BS92" s="61" t="n"/>
      <c r="BT92" s="16" t="n"/>
      <c r="BU92" s="61">
        <f>MIN(G92,12)</f>
        <v/>
      </c>
      <c r="BV92" s="61">
        <f>COUNT(J92:W92)</f>
        <v/>
      </c>
      <c r="BW92" s="61">
        <f>COUNT(X92:AK92)</f>
        <v/>
      </c>
      <c r="BX92" s="61">
        <f>COUNT(AL92:AY92)</f>
        <v/>
      </c>
      <c r="BY92" s="61">
        <f>COUNT(AZ92:BS92)</f>
        <v/>
      </c>
      <c r="BZ92" s="61">
        <f>IF(AND(H92=$BU92,BV92&gt;=INT($BU92/4),BV92&lt;=INT($BU92/4)+IF(MOD($BU92,4)&gt;0,1,0),BW92&gt;=INT($BU92/4),BW92&lt;=INT($BU92/4)+IF(MOD($BU92,4)&gt;0,1,0),BX92&gt;=INT($BU92/4),BX92&lt;=INT($BU92/4)+IF(MOD($BU92,4)&gt;0,1,0),BY92&gt;=INT($BU92/4),BY92&lt;=INT($BU92/4)+IF(MOD($BU92,4)&gt;0,1,0)),"OK","CHECK")</f>
        <v/>
      </c>
    </row>
    <row r="93" ht="15" customHeight="1">
      <c r="A93" s="16" t="inlineStr">
        <is>
          <t>Pranith</t>
        </is>
      </c>
      <c r="B93" s="16" t="inlineStr">
        <is>
          <t>MKS00143</t>
        </is>
      </c>
      <c r="C93" s="16" t="n">
        <v>3.8</v>
      </c>
      <c r="D93" s="16" t="inlineStr">
        <is>
          <t>Early Intermediate</t>
        </is>
      </c>
      <c r="E93" s="16" t="inlineStr">
        <is>
          <t>G Early Intermediate1A</t>
        </is>
      </c>
      <c r="F93" s="16" t="n"/>
      <c r="G93" s="61" t="n">
        <v>12</v>
      </c>
      <c r="H93" s="61">
        <f>COUNT(J93:BS93)</f>
        <v/>
      </c>
      <c r="I93" s="63">
        <f>G93-H93</f>
        <v/>
      </c>
      <c r="J93" s="61" t="n"/>
      <c r="K93" s="61" t="n"/>
      <c r="L93" s="60" t="n">
        <v>0.8333333333333334</v>
      </c>
      <c r="M93" s="61" t="inlineStr">
        <is>
          <t>Dhaanush</t>
        </is>
      </c>
      <c r="N93" s="61" t="n"/>
      <c r="O93" s="61" t="n"/>
      <c r="P93" s="32" t="n">
        <v>0.4166666666666667</v>
      </c>
      <c r="Q93" s="19" t="inlineStr">
        <is>
          <t>Manikandan</t>
        </is>
      </c>
      <c r="R93" s="60" t="n">
        <v>0.8333333333333334</v>
      </c>
      <c r="S93" s="61" t="inlineStr">
        <is>
          <t>Dhaanush</t>
        </is>
      </c>
      <c r="T93" s="61" t="n"/>
      <c r="U93" s="61" t="n"/>
      <c r="V93" s="61" t="n"/>
      <c r="W93" s="61" t="n"/>
      <c r="X93" s="61" t="n"/>
      <c r="Y93" s="61" t="n"/>
      <c r="Z93" s="60" t="n">
        <v>0.8333333333333334</v>
      </c>
      <c r="AA93" s="61" t="inlineStr">
        <is>
          <t>Dhaanush</t>
        </is>
      </c>
      <c r="AB93" s="61" t="n"/>
      <c r="AC93" s="61" t="n"/>
      <c r="AD93" s="32" t="n">
        <v>0.4166666666666667</v>
      </c>
      <c r="AE93" s="19" t="inlineStr">
        <is>
          <t>Manikandan</t>
        </is>
      </c>
      <c r="AF93" s="60" t="n">
        <v>0.8333333333333334</v>
      </c>
      <c r="AG93" s="61" t="inlineStr">
        <is>
          <t>Dhaanush</t>
        </is>
      </c>
      <c r="AH93" s="61" t="n"/>
      <c r="AI93" s="61" t="n"/>
      <c r="AJ93" s="61" t="n"/>
      <c r="AK93" s="61" t="n"/>
      <c r="AL93" s="61" t="n"/>
      <c r="AM93" s="61" t="n"/>
      <c r="AN93" s="60" t="n">
        <v>0.8333333333333334</v>
      </c>
      <c r="AO93" s="61" t="inlineStr">
        <is>
          <t>Dhaanush</t>
        </is>
      </c>
      <c r="AP93" s="61" t="n"/>
      <c r="AQ93" s="61" t="n"/>
      <c r="AR93" s="32" t="n">
        <v>0.4166666666666667</v>
      </c>
      <c r="AS93" s="19" t="inlineStr">
        <is>
          <t>Abinaya</t>
        </is>
      </c>
      <c r="AT93" s="60" t="n">
        <v>0.8333333333333334</v>
      </c>
      <c r="AU93" s="61" t="inlineStr">
        <is>
          <t>Dhaanush</t>
        </is>
      </c>
      <c r="AV93" s="61" t="n"/>
      <c r="AW93" s="61" t="n"/>
      <c r="AX93" s="61" t="n"/>
      <c r="AY93" s="61" t="n"/>
      <c r="AZ93" s="61" t="n"/>
      <c r="BA93" s="61" t="n"/>
      <c r="BB93" s="60" t="n">
        <v>0.8333333333333334</v>
      </c>
      <c r="BC93" s="61" t="inlineStr">
        <is>
          <t>Dhaanush</t>
        </is>
      </c>
      <c r="BD93" s="61" t="n"/>
      <c r="BE93" s="61" t="n"/>
      <c r="BF93" s="19" t="n"/>
      <c r="BG93" s="19" t="n"/>
      <c r="BH93" s="60" t="n">
        <v>0.8333333333333334</v>
      </c>
      <c r="BI93" s="61" t="inlineStr">
        <is>
          <t>Dhaanush</t>
        </is>
      </c>
      <c r="BJ93" s="61" t="n"/>
      <c r="BK93" s="61" t="n"/>
      <c r="BL93" s="61" t="n"/>
      <c r="BM93" s="61" t="n"/>
      <c r="BN93" s="61" t="n"/>
      <c r="BO93" s="61" t="n"/>
      <c r="BP93" s="60" t="n">
        <v>0.8333333333333334</v>
      </c>
      <c r="BQ93" s="61" t="inlineStr">
        <is>
          <t>Dhaanush</t>
        </is>
      </c>
      <c r="BR93" s="61" t="n"/>
      <c r="BS93" s="61" t="n"/>
      <c r="BT93" s="16" t="n"/>
      <c r="BU93" s="61">
        <f>MIN(G93,12)</f>
        <v/>
      </c>
      <c r="BV93" s="61">
        <f>COUNT(J93:W93)</f>
        <v/>
      </c>
      <c r="BW93" s="61">
        <f>COUNT(X93:AK93)</f>
        <v/>
      </c>
      <c r="BX93" s="61">
        <f>COUNT(AL93:AY93)</f>
        <v/>
      </c>
      <c r="BY93" s="61">
        <f>COUNT(AZ93:BS93)</f>
        <v/>
      </c>
      <c r="BZ93" s="61">
        <f>IF(AND(H93=$BU93,BV93&gt;=INT($BU93/4),BV93&lt;=INT($BU93/4)+IF(MOD($BU93,4)&gt;0,1,0),BW93&gt;=INT($BU93/4),BW93&lt;=INT($BU93/4)+IF(MOD($BU93,4)&gt;0,1,0),BX93&gt;=INT($BU93/4),BX93&lt;=INT($BU93/4)+IF(MOD($BU93,4)&gt;0,1,0),BY93&gt;=INT($BU93/4),BY93&lt;=INT($BU93/4)+IF(MOD($BU93,4)&gt;0,1,0)),"OK","CHECK")</f>
        <v/>
      </c>
    </row>
    <row r="94" ht="15" customHeight="1">
      <c r="A94" s="16" t="inlineStr">
        <is>
          <t>Hithesh</t>
        </is>
      </c>
      <c r="B94" s="16" t="inlineStr">
        <is>
          <t>MKS00206</t>
        </is>
      </c>
      <c r="C94" s="16" t="n">
        <v>4.8</v>
      </c>
      <c r="D94" s="16" t="inlineStr">
        <is>
          <t>Early Intermediate</t>
        </is>
      </c>
      <c r="E94" s="16" t="inlineStr">
        <is>
          <t>G Early Intermediate2</t>
        </is>
      </c>
      <c r="F94" s="16" t="n"/>
      <c r="G94" s="61" t="n">
        <v>12</v>
      </c>
      <c r="H94" s="61">
        <f>COUNT(J94:BS94)</f>
        <v/>
      </c>
      <c r="I94" s="63">
        <f>G94-H94</f>
        <v/>
      </c>
      <c r="J94" s="61" t="n"/>
      <c r="K94" s="61" t="n"/>
      <c r="L94" s="60" t="n">
        <v>0.8333333333333334</v>
      </c>
      <c r="M94" s="61" t="inlineStr">
        <is>
          <t>Dhaanush</t>
        </is>
      </c>
      <c r="N94" s="61" t="n"/>
      <c r="O94" s="61" t="n"/>
      <c r="P94" s="32" t="n">
        <v>0.4166666666666667</v>
      </c>
      <c r="Q94" s="19" t="inlineStr">
        <is>
          <t>Manikandan</t>
        </is>
      </c>
      <c r="R94" s="60" t="n">
        <v>0.8333333333333334</v>
      </c>
      <c r="S94" s="61" t="inlineStr">
        <is>
          <t>Dhaanush</t>
        </is>
      </c>
      <c r="T94" s="61" t="n"/>
      <c r="U94" s="61" t="n"/>
      <c r="V94" s="61" t="n"/>
      <c r="W94" s="61" t="n"/>
      <c r="X94" s="61" t="n"/>
      <c r="Y94" s="61" t="n"/>
      <c r="Z94" s="60" t="n">
        <v>0.8333333333333334</v>
      </c>
      <c r="AA94" s="61" t="inlineStr">
        <is>
          <t>Dhaanush</t>
        </is>
      </c>
      <c r="AB94" s="61" t="n"/>
      <c r="AC94" s="61" t="n"/>
      <c r="AD94" s="32" t="n">
        <v>0.4166666666666667</v>
      </c>
      <c r="AE94" s="19" t="inlineStr">
        <is>
          <t>Manikandan</t>
        </is>
      </c>
      <c r="AF94" s="60" t="n">
        <v>0.8333333333333334</v>
      </c>
      <c r="AG94" s="61" t="inlineStr">
        <is>
          <t>Dhaanush</t>
        </is>
      </c>
      <c r="AH94" s="61" t="n"/>
      <c r="AI94" s="61" t="n"/>
      <c r="AJ94" s="61" t="n"/>
      <c r="AK94" s="61" t="n"/>
      <c r="AL94" s="61" t="n"/>
      <c r="AM94" s="61" t="n"/>
      <c r="AN94" s="60" t="n">
        <v>0.8333333333333334</v>
      </c>
      <c r="AO94" s="61" t="inlineStr">
        <is>
          <t>Dhaanush</t>
        </is>
      </c>
      <c r="AP94" s="61" t="n"/>
      <c r="AQ94" s="61" t="n"/>
      <c r="AR94" s="32" t="n">
        <v>0.4166666666666667</v>
      </c>
      <c r="AS94" s="19" t="inlineStr">
        <is>
          <t>Manikandan</t>
        </is>
      </c>
      <c r="AT94" s="60" t="n">
        <v>0.8333333333333334</v>
      </c>
      <c r="AU94" s="61" t="inlineStr">
        <is>
          <t>Dhaanush</t>
        </is>
      </c>
      <c r="AV94" s="61" t="n"/>
      <c r="AW94" s="61" t="n"/>
      <c r="AX94" s="61" t="n"/>
      <c r="AY94" s="61" t="n"/>
      <c r="AZ94" s="61" t="n"/>
      <c r="BA94" s="61" t="n"/>
      <c r="BB94" s="60" t="n">
        <v>0.8333333333333334</v>
      </c>
      <c r="BC94" s="61" t="inlineStr">
        <is>
          <t>Dhaanush</t>
        </is>
      </c>
      <c r="BD94" s="61" t="n"/>
      <c r="BE94" s="61" t="n"/>
      <c r="BF94" s="32" t="n">
        <v>0.4166666666666667</v>
      </c>
      <c r="BG94" s="19" t="inlineStr">
        <is>
          <t>Manikandan</t>
        </is>
      </c>
      <c r="BH94" s="61" t="n"/>
      <c r="BI94" s="61" t="n"/>
      <c r="BJ94" s="61" t="n"/>
      <c r="BK94" s="61" t="n"/>
      <c r="BL94" s="61" t="n"/>
      <c r="BM94" s="61" t="n"/>
      <c r="BN94" s="61" t="n"/>
      <c r="BO94" s="61" t="n"/>
      <c r="BP94" s="60" t="n">
        <v>0.8333333333333334</v>
      </c>
      <c r="BQ94" s="61" t="inlineStr">
        <is>
          <t>Dhaanush</t>
        </is>
      </c>
      <c r="BR94" s="61" t="n"/>
      <c r="BS94" s="61" t="n"/>
      <c r="BT94" s="16" t="n"/>
      <c r="BU94" s="61">
        <f>MIN(G94,12)</f>
        <v/>
      </c>
      <c r="BV94" s="61">
        <f>COUNT(J94:W94)</f>
        <v/>
      </c>
      <c r="BW94" s="61">
        <f>COUNT(X94:AK94)</f>
        <v/>
      </c>
      <c r="BX94" s="61">
        <f>COUNT(AL94:AY94)</f>
        <v/>
      </c>
      <c r="BY94" s="61">
        <f>COUNT(AZ94:BS94)</f>
        <v/>
      </c>
      <c r="BZ94" s="61">
        <f>IF(AND(H94=$BU94,BV94&gt;=INT($BU94/4),BV94&lt;=INT($BU94/4)+IF(MOD($BU94,4)&gt;0,1,0),BW94&gt;=INT($BU94/4),BW94&lt;=INT($BU94/4)+IF(MOD($BU94,4)&gt;0,1,0),BX94&gt;=INT($BU94/4),BX94&lt;=INT($BU94/4)+IF(MOD($BU94,4)&gt;0,1,0),BY94&gt;=INT($BU94/4),BY94&lt;=INT($BU94/4)+IF(MOD($BU94,4)&gt;0,1,0)),"OK","CHECK")</f>
        <v/>
      </c>
    </row>
    <row r="95" ht="15" customHeight="1">
      <c r="A95" s="16" t="inlineStr">
        <is>
          <t>Ryan Stalin</t>
        </is>
      </c>
      <c r="B95" s="16" t="inlineStr">
        <is>
          <t>MKS00007</t>
        </is>
      </c>
      <c r="C95" s="16" t="n">
        <v>3.4</v>
      </c>
      <c r="D95" s="16" t="inlineStr">
        <is>
          <t>Beginner</t>
        </is>
      </c>
      <c r="E95" s="16" t="inlineStr">
        <is>
          <t>G Beginner2s</t>
        </is>
      </c>
      <c r="F95" s="16" t="inlineStr">
        <is>
          <t>11am Sunday tournament</t>
        </is>
      </c>
      <c r="G95" s="61" t="n">
        <v>12</v>
      </c>
      <c r="H95" s="61">
        <f>COUNT(J95:BS95)</f>
        <v/>
      </c>
      <c r="I95" s="63">
        <f>G95-H95</f>
        <v/>
      </c>
      <c r="J95" s="61" t="n"/>
      <c r="K95" s="61" t="n"/>
      <c r="L95" s="61" t="n"/>
      <c r="M95" s="61" t="n"/>
      <c r="N95" s="60" t="n">
        <v>0.8333333333333334</v>
      </c>
      <c r="O95" s="61" t="inlineStr">
        <is>
          <t>Guru</t>
        </is>
      </c>
      <c r="P95" s="46" t="n">
        <v>0.4583333333333333</v>
      </c>
      <c r="Q95" s="47" t="inlineStr">
        <is>
          <t>Abinaya</t>
        </is>
      </c>
      <c r="R95" s="60" t="n">
        <v>0.8333333333333334</v>
      </c>
      <c r="S95" s="61" t="inlineStr">
        <is>
          <t>Guru</t>
        </is>
      </c>
      <c r="T95" s="61" t="n"/>
      <c r="U95" s="61" t="n"/>
      <c r="V95" s="61" t="n"/>
      <c r="W95" s="61" t="n"/>
      <c r="X95" s="61" t="n"/>
      <c r="Y95" s="61" t="n"/>
      <c r="Z95" s="61" t="n"/>
      <c r="AA95" s="61" t="n"/>
      <c r="AB95" s="60" t="n">
        <v>0.8333333333333334</v>
      </c>
      <c r="AC95" s="61" t="inlineStr">
        <is>
          <t>Guru</t>
        </is>
      </c>
      <c r="AD95" s="46" t="n">
        <v>0.4166666666666667</v>
      </c>
      <c r="AE95" s="47" t="inlineStr">
        <is>
          <t>Abinaya</t>
        </is>
      </c>
      <c r="AF95" s="60" t="n">
        <v>0.8333333333333334</v>
      </c>
      <c r="AG95" s="61" t="inlineStr">
        <is>
          <t>Guru</t>
        </is>
      </c>
      <c r="AH95" s="61" t="n"/>
      <c r="AI95" s="61" t="n"/>
      <c r="AJ95" s="61" t="n"/>
      <c r="AK95" s="61" t="n"/>
      <c r="AL95" s="61" t="n"/>
      <c r="AM95" s="61" t="n"/>
      <c r="AN95" s="61" t="n"/>
      <c r="AO95" s="61" t="n"/>
      <c r="AP95" s="60" t="n">
        <v>0.8333333333333334</v>
      </c>
      <c r="AQ95" s="61" t="inlineStr">
        <is>
          <t>Guru</t>
        </is>
      </c>
      <c r="AR95" s="46" t="n">
        <v>0.4166666666666667</v>
      </c>
      <c r="AS95" s="47" t="inlineStr">
        <is>
          <t>Abinaya</t>
        </is>
      </c>
      <c r="AT95" s="60" t="n">
        <v>0.8333333333333334</v>
      </c>
      <c r="AU95" s="61" t="inlineStr">
        <is>
          <t>Guru</t>
        </is>
      </c>
      <c r="AV95" s="61" t="n"/>
      <c r="AW95" s="61" t="n"/>
      <c r="AX95" s="61" t="n"/>
      <c r="AY95" s="61" t="n"/>
      <c r="AZ95" s="61" t="n"/>
      <c r="BA95" s="61" t="n"/>
      <c r="BB95" s="61" t="n"/>
      <c r="BC95" s="61" t="n"/>
      <c r="BD95" s="60" t="n">
        <v>0.8333333333333334</v>
      </c>
      <c r="BE95" s="61" t="inlineStr">
        <is>
          <t>Guru</t>
        </is>
      </c>
      <c r="BF95" s="19" t="n"/>
      <c r="BG95" s="19" t="n"/>
      <c r="BH95" s="60" t="n">
        <v>0.8333333333333334</v>
      </c>
      <c r="BI95" s="61" t="inlineStr">
        <is>
          <t>Guru</t>
        </is>
      </c>
      <c r="BJ95" s="61" t="n"/>
      <c r="BK95" s="61" t="n"/>
      <c r="BL95" s="61" t="n"/>
      <c r="BM95" s="61" t="n"/>
      <c r="BN95" s="61" t="n"/>
      <c r="BO95" s="61" t="n"/>
      <c r="BP95" s="61" t="n"/>
      <c r="BQ95" s="61" t="n"/>
      <c r="BR95" s="60" t="n">
        <v>0.8333333333333334</v>
      </c>
      <c r="BS95" s="61" t="inlineStr">
        <is>
          <t>Guru</t>
        </is>
      </c>
      <c r="BT95" s="16" t="n"/>
      <c r="BU95" s="61">
        <f>MIN(G95,12)</f>
        <v/>
      </c>
      <c r="BV95" s="61">
        <f>COUNT(J95:W95)</f>
        <v/>
      </c>
      <c r="BW95" s="61">
        <f>COUNT(X95:AK95)</f>
        <v/>
      </c>
      <c r="BX95" s="61">
        <f>COUNT(AL95:AY95)</f>
        <v/>
      </c>
      <c r="BY95" s="61">
        <f>COUNT(AZ95:BS95)</f>
        <v/>
      </c>
      <c r="BZ95" s="61">
        <f>IF(AND(H95=$BU95,BV95&gt;=INT($BU95/4),BV95&lt;=INT($BU95/4)+IF(MOD($BU95,4)&gt;0,1,0),BW95&gt;=INT($BU95/4),BW95&lt;=INT($BU95/4)+IF(MOD($BU95,4)&gt;0,1,0),BX95&gt;=INT($BU95/4),BX95&lt;=INT($BU95/4)+IF(MOD($BU95,4)&gt;0,1,0),BY95&gt;=INT($BU95/4),BY95&lt;=INT($BU95/4)+IF(MOD($BU95,4)&gt;0,1,0)),"OK","CHECK")</f>
        <v/>
      </c>
    </row>
    <row r="96" ht="15" customHeight="1">
      <c r="A96" s="16" t="inlineStr">
        <is>
          <t>Nirupan</t>
        </is>
      </c>
      <c r="B96" s="16" t="inlineStr">
        <is>
          <t>MKS00185</t>
        </is>
      </c>
      <c r="C96" s="16" t="n">
        <v>3</v>
      </c>
      <c r="D96" s="16" t="inlineStr">
        <is>
          <t>Beginner</t>
        </is>
      </c>
      <c r="E96" s="16" t="inlineStr">
        <is>
          <t>G Beginner1B</t>
        </is>
      </c>
      <c r="F96" s="16" t="inlineStr">
        <is>
          <t>11am Sunday tournament</t>
        </is>
      </c>
      <c r="G96" s="61" t="n">
        <v>12</v>
      </c>
      <c r="H96" s="61">
        <f>COUNT(J96:BS96)</f>
        <v/>
      </c>
      <c r="I96" s="63">
        <f>G96-H96</f>
        <v/>
      </c>
      <c r="J96" s="61" t="n"/>
      <c r="K96" s="61" t="n"/>
      <c r="L96" s="61" t="n"/>
      <c r="M96" s="61" t="n"/>
      <c r="N96" s="60" t="n">
        <v>0.8333333333333334</v>
      </c>
      <c r="O96" s="61" t="inlineStr">
        <is>
          <t>Guru</t>
        </is>
      </c>
      <c r="P96" s="22" t="n">
        <v>0.4583333333333333</v>
      </c>
      <c r="Q96" s="23" t="inlineStr">
        <is>
          <t>Abinaya</t>
        </is>
      </c>
      <c r="R96" s="60" t="n">
        <v>0.8333333333333334</v>
      </c>
      <c r="S96" s="61" t="inlineStr">
        <is>
          <t>Guru</t>
        </is>
      </c>
      <c r="T96" s="61" t="n"/>
      <c r="U96" s="61" t="n"/>
      <c r="V96" s="61" t="n"/>
      <c r="W96" s="61" t="n"/>
      <c r="X96" s="61" t="n"/>
      <c r="Y96" s="61" t="n"/>
      <c r="Z96" s="61" t="n"/>
      <c r="AA96" s="61" t="n"/>
      <c r="AB96" s="60" t="n">
        <v>0.8333333333333334</v>
      </c>
      <c r="AC96" s="61" t="inlineStr">
        <is>
          <t>Guru</t>
        </is>
      </c>
      <c r="AD96" s="32" t="n">
        <v>0.4166666666666667</v>
      </c>
      <c r="AE96" s="19" t="inlineStr">
        <is>
          <t>Abinaya</t>
        </is>
      </c>
      <c r="AF96" s="60" t="n">
        <v>0.8333333333333334</v>
      </c>
      <c r="AG96" s="61" t="inlineStr">
        <is>
          <t>Guru</t>
        </is>
      </c>
      <c r="AH96" s="61" t="n"/>
      <c r="AI96" s="61" t="n"/>
      <c r="AJ96" s="61" t="n"/>
      <c r="AK96" s="61" t="n"/>
      <c r="AL96" s="61" t="n"/>
      <c r="AM96" s="61" t="n"/>
      <c r="AN96" s="61" t="n"/>
      <c r="AO96" s="61" t="n"/>
      <c r="AP96" s="60" t="n">
        <v>0.8333333333333334</v>
      </c>
      <c r="AQ96" s="61" t="inlineStr">
        <is>
          <t>Guru</t>
        </is>
      </c>
      <c r="AR96" s="32" t="n">
        <v>0.4166666666666667</v>
      </c>
      <c r="AS96" s="19" t="inlineStr">
        <is>
          <t>Abinaya</t>
        </is>
      </c>
      <c r="AT96" s="60" t="n">
        <v>0.8333333333333334</v>
      </c>
      <c r="AU96" s="61" t="inlineStr">
        <is>
          <t>Guru</t>
        </is>
      </c>
      <c r="AV96" s="61" t="n"/>
      <c r="AW96" s="61" t="n"/>
      <c r="AX96" s="61" t="n"/>
      <c r="AY96" s="61" t="n"/>
      <c r="AZ96" s="61" t="n"/>
      <c r="BA96" s="61" t="n"/>
      <c r="BB96" s="61" t="n"/>
      <c r="BC96" s="61" t="n"/>
      <c r="BD96" s="60" t="n">
        <v>0.8333333333333334</v>
      </c>
      <c r="BE96" s="61" t="inlineStr">
        <is>
          <t>Guru</t>
        </is>
      </c>
      <c r="BF96" s="19" t="n"/>
      <c r="BG96" s="19" t="n"/>
      <c r="BH96" s="60" t="n">
        <v>0.8333333333333334</v>
      </c>
      <c r="BI96" s="61" t="inlineStr">
        <is>
          <t>Guru</t>
        </is>
      </c>
      <c r="BJ96" s="61" t="n"/>
      <c r="BK96" s="61" t="n"/>
      <c r="BL96" s="61" t="n"/>
      <c r="BM96" s="61" t="n"/>
      <c r="BN96" s="61" t="n"/>
      <c r="BO96" s="61" t="n"/>
      <c r="BP96" s="61" t="n"/>
      <c r="BQ96" s="61" t="n"/>
      <c r="BR96" s="60" t="n">
        <v>0.8333333333333334</v>
      </c>
      <c r="BS96" s="61" t="inlineStr">
        <is>
          <t>Guru</t>
        </is>
      </c>
      <c r="BT96" s="16" t="n"/>
      <c r="BU96" s="61">
        <f>MIN(G96,12)</f>
        <v/>
      </c>
      <c r="BV96" s="61">
        <f>COUNT(J96:W96)</f>
        <v/>
      </c>
      <c r="BW96" s="61">
        <f>COUNT(X96:AK96)</f>
        <v/>
      </c>
      <c r="BX96" s="61">
        <f>COUNT(AL96:AY96)</f>
        <v/>
      </c>
      <c r="BY96" s="61">
        <f>COUNT(AZ96:BS96)</f>
        <v/>
      </c>
      <c r="BZ96" s="61">
        <f>IF(AND(H96=$BU96,BV96&gt;=INT($BU96/4),BV96&lt;=INT($BU96/4)+IF(MOD($BU96,4)&gt;0,1,0),BW96&gt;=INT($BU96/4),BW96&lt;=INT($BU96/4)+IF(MOD($BU96,4)&gt;0,1,0),BX96&gt;=INT($BU96/4),BX96&lt;=INT($BU96/4)+IF(MOD($BU96,4)&gt;0,1,0),BY96&gt;=INT($BU96/4),BY96&lt;=INT($BU96/4)+IF(MOD($BU96,4)&gt;0,1,0)),"OK","CHECK")</f>
        <v/>
      </c>
    </row>
    <row r="97" ht="15" customHeight="1">
      <c r="A97" s="16" t="inlineStr">
        <is>
          <t>Dhanya sri S S</t>
        </is>
      </c>
      <c r="B97" s="16" t="inlineStr">
        <is>
          <t>MKS00114</t>
        </is>
      </c>
      <c r="C97" s="16" t="n">
        <v>3.5</v>
      </c>
      <c r="D97" s="28" t="inlineStr">
        <is>
          <t>Beginner</t>
        </is>
      </c>
      <c r="E97" s="28" t="inlineStr">
        <is>
          <t>G Beginner2</t>
        </is>
      </c>
      <c r="F97" s="16" t="n"/>
      <c r="G97" s="61" t="n">
        <v>12</v>
      </c>
      <c r="H97" s="61">
        <f>COUNT(J97:BS97)</f>
        <v/>
      </c>
      <c r="I97" s="63">
        <f>G97-H97</f>
        <v/>
      </c>
      <c r="J97" s="61" t="n"/>
      <c r="K97" s="61" t="n"/>
      <c r="L97" s="61" t="n"/>
      <c r="M97" s="61" t="n"/>
      <c r="N97" s="60" t="n">
        <v>0.8333333333333334</v>
      </c>
      <c r="O97" s="61" t="inlineStr">
        <is>
          <t>Guru</t>
        </is>
      </c>
      <c r="P97" s="32" t="n">
        <v>0.4583333333333333</v>
      </c>
      <c r="Q97" s="19" t="inlineStr">
        <is>
          <t>Guru</t>
        </is>
      </c>
      <c r="R97" s="60" t="n">
        <v>0.8333333333333334</v>
      </c>
      <c r="S97" s="61" t="inlineStr">
        <is>
          <t>Guru</t>
        </is>
      </c>
      <c r="T97" s="61" t="n"/>
      <c r="U97" s="61" t="n"/>
      <c r="V97" s="61" t="n"/>
      <c r="W97" s="61" t="n"/>
      <c r="X97" s="61" t="n"/>
      <c r="Y97" s="61" t="n"/>
      <c r="Z97" s="61" t="n"/>
      <c r="AA97" s="61" t="n"/>
      <c r="AB97" s="60" t="n">
        <v>0.8333333333333334</v>
      </c>
      <c r="AC97" s="61" t="inlineStr">
        <is>
          <t>Guru</t>
        </is>
      </c>
      <c r="AD97" s="32" t="n">
        <v>0.4583333333333333</v>
      </c>
      <c r="AE97" s="19" t="inlineStr">
        <is>
          <t>Guru</t>
        </is>
      </c>
      <c r="AF97" s="60" t="n">
        <v>0.8333333333333334</v>
      </c>
      <c r="AG97" s="61" t="inlineStr">
        <is>
          <t>Guru</t>
        </is>
      </c>
      <c r="AH97" s="61" t="n"/>
      <c r="AI97" s="61" t="n"/>
      <c r="AJ97" s="61" t="n"/>
      <c r="AK97" s="61" t="n"/>
      <c r="AL97" s="61" t="n"/>
      <c r="AM97" s="61" t="n"/>
      <c r="AN97" s="61" t="n"/>
      <c r="AO97" s="61" t="n"/>
      <c r="AP97" s="60" t="n">
        <v>0.8333333333333334</v>
      </c>
      <c r="AQ97" s="61" t="inlineStr">
        <is>
          <t>Guru</t>
        </is>
      </c>
      <c r="AR97" s="32" t="n">
        <v>0.4583333333333333</v>
      </c>
      <c r="AS97" s="19" t="inlineStr">
        <is>
          <t>Guru</t>
        </is>
      </c>
      <c r="AT97" s="60" t="n">
        <v>0.8333333333333334</v>
      </c>
      <c r="AU97" s="61" t="inlineStr">
        <is>
          <t>Guru</t>
        </is>
      </c>
      <c r="AV97" s="61" t="n"/>
      <c r="AW97" s="61" t="n"/>
      <c r="AX97" s="61" t="n"/>
      <c r="AY97" s="61" t="n"/>
      <c r="AZ97" s="61" t="n"/>
      <c r="BA97" s="61" t="n"/>
      <c r="BB97" s="61" t="n"/>
      <c r="BC97" s="61" t="n"/>
      <c r="BD97" s="60" t="n">
        <v>0.8333333333333334</v>
      </c>
      <c r="BE97" s="61" t="inlineStr">
        <is>
          <t>Guru</t>
        </is>
      </c>
      <c r="BF97" s="32" t="n">
        <v>0.4583333333333333</v>
      </c>
      <c r="BG97" s="19" t="inlineStr">
        <is>
          <t>Guru</t>
        </is>
      </c>
      <c r="BH97" s="61" t="n"/>
      <c r="BI97" s="61" t="n"/>
      <c r="BJ97" s="61" t="n"/>
      <c r="BK97" s="61" t="n"/>
      <c r="BL97" s="61" t="n"/>
      <c r="BM97" s="61" t="n"/>
      <c r="BN97" s="61" t="n"/>
      <c r="BO97" s="61" t="n"/>
      <c r="BP97" s="61" t="n"/>
      <c r="BQ97" s="61" t="n"/>
      <c r="BR97" s="60" t="n">
        <v>0.8333333333333334</v>
      </c>
      <c r="BS97" s="61" t="inlineStr">
        <is>
          <t>Guru</t>
        </is>
      </c>
      <c r="BT97" s="16" t="inlineStr">
        <is>
          <t>joined may</t>
        </is>
      </c>
      <c r="BU97" s="61">
        <f>MIN(G97,12)</f>
        <v/>
      </c>
      <c r="BV97" s="61">
        <f>COUNT(J97:W97)</f>
        <v/>
      </c>
      <c r="BW97" s="61">
        <f>COUNT(X97:AK97)</f>
        <v/>
      </c>
      <c r="BX97" s="61">
        <f>COUNT(AL97:AY97)</f>
        <v/>
      </c>
      <c r="BY97" s="61">
        <f>COUNT(AZ97:BS97)</f>
        <v/>
      </c>
      <c r="BZ97" s="61">
        <f>IF(AND(H97=$BU97,BV97&gt;=INT($BU97/4),BV97&lt;=INT($BU97/4)+IF(MOD($BU97,4)&gt;0,1,0),BW97&gt;=INT($BU97/4),BW97&lt;=INT($BU97/4)+IF(MOD($BU97,4)&gt;0,1,0),BX97&gt;=INT($BU97/4),BX97&lt;=INT($BU97/4)+IF(MOD($BU97,4)&gt;0,1,0),BY97&gt;=INT($BU97/4),BY97&lt;=INT($BU97/4)+IF(MOD($BU97,4)&gt;0,1,0)),"OK","CHECK")</f>
        <v/>
      </c>
    </row>
    <row r="98" ht="15" customHeight="1">
      <c r="A98" s="16" t="inlineStr">
        <is>
          <t>M Nethran</t>
        </is>
      </c>
      <c r="B98" s="16" t="inlineStr">
        <is>
          <t>MKS00020</t>
        </is>
      </c>
      <c r="C98" s="16" t="n">
        <v>3.8</v>
      </c>
      <c r="D98" s="16" t="inlineStr">
        <is>
          <t>Early Intermediate</t>
        </is>
      </c>
      <c r="E98" s="16" t="inlineStr">
        <is>
          <t>G Early Intermediate1A</t>
        </is>
      </c>
      <c r="F98" s="16" t="inlineStr">
        <is>
          <t>11am Sunday tournamentmissing in somedays &amp; weekday classes should only at 8pm</t>
        </is>
      </c>
      <c r="G98" s="61" t="n">
        <v>12</v>
      </c>
      <c r="H98" s="61">
        <f>COUNT(J98:BS98)</f>
        <v/>
      </c>
      <c r="I98" s="63">
        <f>G98-H98</f>
        <v/>
      </c>
      <c r="J98" s="61" t="n"/>
      <c r="K98" s="61" t="n"/>
      <c r="L98" s="60" t="n">
        <v>0.8333333333333334</v>
      </c>
      <c r="M98" s="61" t="inlineStr">
        <is>
          <t>Dhaanush</t>
        </is>
      </c>
      <c r="N98" s="61" t="n"/>
      <c r="O98" s="61" t="n"/>
      <c r="P98" s="32" t="n">
        <v>0.4583333333333333</v>
      </c>
      <c r="Q98" s="19" t="inlineStr">
        <is>
          <t>Manikandan</t>
        </is>
      </c>
      <c r="R98" s="60" t="n">
        <v>0.8333333333333334</v>
      </c>
      <c r="S98" s="61" t="inlineStr">
        <is>
          <t>Dhaanush</t>
        </is>
      </c>
      <c r="T98" s="61" t="n"/>
      <c r="U98" s="61" t="n"/>
      <c r="V98" s="61" t="n"/>
      <c r="W98" s="61" t="n"/>
      <c r="X98" s="60" t="n"/>
      <c r="Y98" s="61" t="n"/>
      <c r="Z98" s="60" t="n">
        <v>0.8333333333333334</v>
      </c>
      <c r="AA98" s="61" t="inlineStr">
        <is>
          <t>Dhaanush</t>
        </is>
      </c>
      <c r="AB98" s="61" t="n"/>
      <c r="AC98" s="61" t="n"/>
      <c r="AD98" s="32" t="n">
        <v>0.4583333333333333</v>
      </c>
      <c r="AE98" s="19" t="inlineStr">
        <is>
          <t>Manikandan</t>
        </is>
      </c>
      <c r="AF98" s="60" t="n">
        <v>0.8333333333333334</v>
      </c>
      <c r="AG98" s="61" t="inlineStr">
        <is>
          <t>Dhaanush</t>
        </is>
      </c>
      <c r="AH98" s="61" t="n"/>
      <c r="AI98" s="61" t="n"/>
      <c r="AJ98" s="61" t="n"/>
      <c r="AK98" s="61" t="n"/>
      <c r="AL98" s="61" t="n"/>
      <c r="AM98" s="61" t="n"/>
      <c r="AN98" s="60" t="n">
        <v>0.8333333333333334</v>
      </c>
      <c r="AO98" s="61" t="inlineStr">
        <is>
          <t>Dhaanush</t>
        </is>
      </c>
      <c r="AP98" s="61" t="n"/>
      <c r="AQ98" s="61" t="n"/>
      <c r="AR98" s="32" t="n">
        <v>0.4583333333333333</v>
      </c>
      <c r="AS98" s="19" t="inlineStr">
        <is>
          <t>Manikandan</t>
        </is>
      </c>
      <c r="AT98" s="60" t="n">
        <v>0.8333333333333334</v>
      </c>
      <c r="AU98" s="61" t="inlineStr">
        <is>
          <t>Dhaanush</t>
        </is>
      </c>
      <c r="AV98" s="61" t="n"/>
      <c r="AW98" s="61" t="n"/>
      <c r="AX98" s="61" t="n"/>
      <c r="AY98" s="61" t="n"/>
      <c r="AZ98" s="61" t="n"/>
      <c r="BA98" s="61" t="n"/>
      <c r="BB98" s="60" t="n">
        <v>0.8333333333333334</v>
      </c>
      <c r="BC98" s="61" t="inlineStr">
        <is>
          <t>Dhaanush</t>
        </is>
      </c>
      <c r="BD98" s="61" t="n"/>
      <c r="BE98" s="61" t="n"/>
      <c r="BF98" s="19" t="n"/>
      <c r="BG98" s="19" t="n"/>
      <c r="BH98" s="60" t="n">
        <v>0.8333333333333334</v>
      </c>
      <c r="BI98" s="61" t="inlineStr">
        <is>
          <t>Dhaanush</t>
        </is>
      </c>
      <c r="BJ98" s="61" t="n"/>
      <c r="BK98" s="61" t="n"/>
      <c r="BL98" s="61" t="n"/>
      <c r="BM98" s="61" t="n"/>
      <c r="BN98" s="61" t="n"/>
      <c r="BO98" s="61" t="n"/>
      <c r="BP98" s="60" t="n">
        <v>0.8333333333333334</v>
      </c>
      <c r="BQ98" s="61" t="inlineStr">
        <is>
          <t>Dhaanush</t>
        </is>
      </c>
      <c r="BR98" s="61" t="n"/>
      <c r="BS98" s="61" t="n"/>
      <c r="BT98" s="16" t="n"/>
      <c r="BU98" s="61">
        <f>MIN(G98,12)</f>
        <v/>
      </c>
      <c r="BV98" s="61">
        <f>COUNT(J98:W98)</f>
        <v/>
      </c>
      <c r="BW98" s="61">
        <f>COUNT(X98:AK98)</f>
        <v/>
      </c>
      <c r="BX98" s="61">
        <f>COUNT(AL98:AY98)</f>
        <v/>
      </c>
      <c r="BY98" s="61">
        <f>COUNT(AZ98:BS98)</f>
        <v/>
      </c>
      <c r="BZ98" s="61">
        <f>IF(AND(H98=$BU98,BV98&gt;=INT($BU98/4),BV98&lt;=INT($BU98/4)+IF(MOD($BU98,4)&gt;0,1,0),BW98&gt;=INT($BU98/4),BW98&lt;=INT($BU98/4)+IF(MOD($BU98,4)&gt;0,1,0),BX98&gt;=INT($BU98/4),BX98&lt;=INT($BU98/4)+IF(MOD($BU98,4)&gt;0,1,0),BY98&gt;=INT($BU98/4),BY98&lt;=INT($BU98/4)+IF(MOD($BU98,4)&gt;0,1,0)),"OK","CHECK")</f>
        <v/>
      </c>
    </row>
    <row r="99" ht="15" customHeight="1">
      <c r="A99" s="16" t="inlineStr">
        <is>
          <t>Keshav Krishna</t>
        </is>
      </c>
      <c r="B99" s="16" t="inlineStr">
        <is>
          <t>YTC</t>
        </is>
      </c>
      <c r="C99" s="16" t="n">
        <v>3.3</v>
      </c>
      <c r="D99" s="16" t="inlineStr">
        <is>
          <t>Early Intermediate</t>
        </is>
      </c>
      <c r="E99" s="16" t="inlineStr">
        <is>
          <t>G Early Intermediate1A</t>
        </is>
      </c>
      <c r="F99" s="16" t="n"/>
      <c r="G99" s="61" t="n">
        <v>12</v>
      </c>
      <c r="H99" s="61">
        <f>COUNT(J99:BS99)</f>
        <v/>
      </c>
      <c r="I99" s="63">
        <f>G99-H99</f>
        <v/>
      </c>
      <c r="J99" s="61" t="n"/>
      <c r="K99" s="61" t="n"/>
      <c r="L99" s="60" t="n">
        <v>0.8333333333333334</v>
      </c>
      <c r="M99" s="61" t="inlineStr">
        <is>
          <t>Dhaanush</t>
        </is>
      </c>
      <c r="N99" s="61" t="n"/>
      <c r="O99" s="61" t="n"/>
      <c r="P99" s="32" t="n">
        <v>0.4583333333333333</v>
      </c>
      <c r="Q99" s="19" t="inlineStr">
        <is>
          <t>Manikandan</t>
        </is>
      </c>
      <c r="R99" s="60" t="n">
        <v>0.8333333333333334</v>
      </c>
      <c r="S99" s="61" t="inlineStr">
        <is>
          <t>Dhaanush</t>
        </is>
      </c>
      <c r="T99" s="61" t="n"/>
      <c r="U99" s="61" t="n"/>
      <c r="V99" s="61" t="n"/>
      <c r="W99" s="61" t="n"/>
      <c r="X99" s="61" t="n"/>
      <c r="Y99" s="61" t="n"/>
      <c r="Z99" s="60" t="n">
        <v>0.8333333333333334</v>
      </c>
      <c r="AA99" s="61" t="inlineStr">
        <is>
          <t>Dhaanush</t>
        </is>
      </c>
      <c r="AB99" s="61" t="n"/>
      <c r="AC99" s="61" t="n"/>
      <c r="AD99" s="32" t="n">
        <v>0.4583333333333333</v>
      </c>
      <c r="AE99" s="19" t="inlineStr">
        <is>
          <t>Manikandan</t>
        </is>
      </c>
      <c r="AF99" s="60" t="n">
        <v>0.8333333333333334</v>
      </c>
      <c r="AG99" s="61" t="inlineStr">
        <is>
          <t>Dhaanush</t>
        </is>
      </c>
      <c r="AH99" s="61" t="n"/>
      <c r="AI99" s="61" t="n"/>
      <c r="AJ99" s="61" t="n"/>
      <c r="AK99" s="61" t="n"/>
      <c r="AL99" s="61" t="n"/>
      <c r="AM99" s="61" t="n"/>
      <c r="AN99" s="60" t="n">
        <v>0.8333333333333334</v>
      </c>
      <c r="AO99" s="61" t="inlineStr">
        <is>
          <t>Dhaanush</t>
        </is>
      </c>
      <c r="AP99" s="61" t="n"/>
      <c r="AQ99" s="61" t="n"/>
      <c r="AR99" s="32" t="n">
        <v>0.4583333333333333</v>
      </c>
      <c r="AS99" s="19" t="inlineStr">
        <is>
          <t>Manikandan</t>
        </is>
      </c>
      <c r="AT99" s="60" t="n">
        <v>0.8333333333333334</v>
      </c>
      <c r="AU99" s="61" t="inlineStr">
        <is>
          <t>Dhaanush</t>
        </is>
      </c>
      <c r="AV99" s="61" t="n"/>
      <c r="AW99" s="61" t="n"/>
      <c r="AX99" s="61" t="n"/>
      <c r="AY99" s="61" t="n"/>
      <c r="AZ99" s="61" t="n"/>
      <c r="BA99" s="61" t="n"/>
      <c r="BB99" s="60" t="n">
        <v>0.8333333333333334</v>
      </c>
      <c r="BC99" s="61" t="inlineStr">
        <is>
          <t>Dhaanush</t>
        </is>
      </c>
      <c r="BD99" s="61" t="n"/>
      <c r="BE99" s="61" t="n"/>
      <c r="BF99" s="32" t="n">
        <v>0.4583333333333333</v>
      </c>
      <c r="BG99" s="19" t="inlineStr">
        <is>
          <t>Manikandan</t>
        </is>
      </c>
      <c r="BH99" s="61" t="n"/>
      <c r="BI99" s="61" t="n"/>
      <c r="BJ99" s="61" t="n"/>
      <c r="BK99" s="61" t="n"/>
      <c r="BL99" s="61" t="n"/>
      <c r="BM99" s="61" t="n"/>
      <c r="BN99" s="61" t="n"/>
      <c r="BO99" s="61" t="n"/>
      <c r="BP99" s="60" t="n">
        <v>0.8333333333333334</v>
      </c>
      <c r="BQ99" s="61" t="inlineStr">
        <is>
          <t>Dhaanush</t>
        </is>
      </c>
      <c r="BR99" s="61" t="n"/>
      <c r="BS99" s="61" t="n"/>
      <c r="BT99" s="16" t="n"/>
      <c r="BU99" s="61">
        <f>MIN(G99,12)</f>
        <v/>
      </c>
      <c r="BV99" s="61">
        <f>COUNT(J99:W99)</f>
        <v/>
      </c>
      <c r="BW99" s="61">
        <f>COUNT(X99:AK99)</f>
        <v/>
      </c>
      <c r="BX99" s="61">
        <f>COUNT(AL99:AY99)</f>
        <v/>
      </c>
      <c r="BY99" s="61">
        <f>COUNT(AZ99:BS99)</f>
        <v/>
      </c>
      <c r="BZ99" s="61">
        <f>IF(AND(H99=$BU99,BV99&gt;=INT($BU99/4),BV99&lt;=INT($BU99/4)+IF(MOD($BU99,4)&gt;0,1,0),BW99&gt;=INT($BU99/4),BW99&lt;=INT($BU99/4)+IF(MOD($BU99,4)&gt;0,1,0),BX99&gt;=INT($BU99/4),BX99&lt;=INT($BU99/4)+IF(MOD($BU99,4)&gt;0,1,0),BY99&gt;=INT($BU99/4),BY99&lt;=INT($BU99/4)+IF(MOD($BU99,4)&gt;0,1,0)),"OK","CHECK")</f>
        <v/>
      </c>
    </row>
    <row r="100" ht="15" customHeight="1">
      <c r="A100" s="33" t="inlineStr">
        <is>
          <t>R Logeshwaran</t>
        </is>
      </c>
      <c r="B100" s="16" t="inlineStr">
        <is>
          <t>MKS00222</t>
        </is>
      </c>
      <c r="C100" s="16" t="n">
        <v>1.8</v>
      </c>
      <c r="D100" s="16" t="inlineStr">
        <is>
          <t>Beginner</t>
        </is>
      </c>
      <c r="E100" s="16" t="inlineStr">
        <is>
          <t>G beginner1</t>
        </is>
      </c>
      <c r="F100" s="16" t="n"/>
      <c r="G100" s="61" t="n">
        <v>12</v>
      </c>
      <c r="H100" s="61">
        <f>COUNT(J100:BS100)</f>
        <v/>
      </c>
      <c r="I100" s="63">
        <f>G100-H100</f>
        <v/>
      </c>
      <c r="J100" s="60" t="n">
        <v>0.8333333333333334</v>
      </c>
      <c r="K100" s="61" t="inlineStr">
        <is>
          <t>Bathri</t>
        </is>
      </c>
      <c r="L100" s="61" t="n"/>
      <c r="M100" s="61" t="n"/>
      <c r="N100" s="61" t="n"/>
      <c r="O100" s="61" t="n"/>
      <c r="P100" s="32" t="n">
        <v>0.4583333333333333</v>
      </c>
      <c r="Q100" s="19" t="inlineStr">
        <is>
          <t>Hema</t>
        </is>
      </c>
      <c r="R100" s="60" t="n">
        <v>0.8333333333333334</v>
      </c>
      <c r="S100" s="61" t="inlineStr">
        <is>
          <t>Abinaya</t>
        </is>
      </c>
      <c r="T100" s="61" t="n"/>
      <c r="U100" s="61" t="n"/>
      <c r="V100" s="61" t="n"/>
      <c r="W100" s="61" t="n"/>
      <c r="X100" s="61" t="n"/>
      <c r="Y100" s="61" t="n"/>
      <c r="Z100" s="61" t="n"/>
      <c r="AA100" s="61" t="n"/>
      <c r="AB100" s="83" t="n">
        <v>0.8333333333333334</v>
      </c>
      <c r="AC100" s="84" t="inlineStr">
        <is>
          <t>Manikandan</t>
        </is>
      </c>
      <c r="AD100" s="32" t="n">
        <v>0.4583333333333333</v>
      </c>
      <c r="AE100" s="19" t="inlineStr">
        <is>
          <t>Hema</t>
        </is>
      </c>
      <c r="AF100" s="60" t="n">
        <v>0.8333333333333334</v>
      </c>
      <c r="AG100" s="61" t="inlineStr">
        <is>
          <t>Abinaya</t>
        </is>
      </c>
      <c r="AH100" s="61" t="n"/>
      <c r="AI100" s="61" t="n"/>
      <c r="AJ100" s="61" t="n"/>
      <c r="AK100" s="61" t="n"/>
      <c r="AL100" s="61" t="n"/>
      <c r="AM100" s="61" t="n"/>
      <c r="AN100" s="61" t="n"/>
      <c r="AO100" s="61" t="n"/>
      <c r="AP100" s="83" t="n">
        <v>0.8333333333333334</v>
      </c>
      <c r="AQ100" s="84" t="inlineStr">
        <is>
          <t>Guru</t>
        </is>
      </c>
      <c r="AR100" s="32" t="n">
        <v>0.4583333333333333</v>
      </c>
      <c r="AS100" s="19" t="inlineStr">
        <is>
          <t>Hema</t>
        </is>
      </c>
      <c r="AT100" s="60" t="n">
        <v>0.8333333333333334</v>
      </c>
      <c r="AU100" s="61" t="inlineStr">
        <is>
          <t>Abinaya</t>
        </is>
      </c>
      <c r="AV100" s="61" t="n"/>
      <c r="AW100" s="61" t="n"/>
      <c r="AX100" s="61" t="n"/>
      <c r="AY100" s="61" t="n"/>
      <c r="AZ100" s="61" t="n"/>
      <c r="BA100" s="61" t="n"/>
      <c r="BB100" s="61" t="n"/>
      <c r="BC100" s="61" t="n"/>
      <c r="BD100" s="83" t="n">
        <v>0.8333333333333334</v>
      </c>
      <c r="BE100" s="84" t="inlineStr">
        <is>
          <t>Guru</t>
        </is>
      </c>
      <c r="BF100" s="32" t="n">
        <v>0.4583333333333333</v>
      </c>
      <c r="BG100" s="19" t="inlineStr">
        <is>
          <t>Hema</t>
        </is>
      </c>
      <c r="BH100" s="61" t="n"/>
      <c r="BI100" s="61" t="n"/>
      <c r="BJ100" s="61" t="n"/>
      <c r="BK100" s="61" t="n"/>
      <c r="BL100" s="61" t="n"/>
      <c r="BM100" s="61" t="n"/>
      <c r="BN100" s="61" t="n"/>
      <c r="BO100" s="61" t="n"/>
      <c r="BP100" s="61" t="n"/>
      <c r="BQ100" s="61" t="n"/>
      <c r="BR100" s="83" t="n">
        <v>0.8333333333333334</v>
      </c>
      <c r="BS100" s="84" t="inlineStr">
        <is>
          <t>Bathri</t>
        </is>
      </c>
      <c r="BT100" s="16" t="inlineStr">
        <is>
          <t>Newly assigned for Oct</t>
        </is>
      </c>
      <c r="BU100" s="61">
        <f>MIN(G100,12)</f>
        <v/>
      </c>
      <c r="BV100" s="61">
        <f>COUNT(J100:W100)</f>
        <v/>
      </c>
      <c r="BW100" s="61">
        <f>COUNT(X100:AK100)</f>
        <v/>
      </c>
      <c r="BX100" s="61">
        <f>COUNT(AL100:AY100)</f>
        <v/>
      </c>
      <c r="BY100" s="61">
        <f>COUNT(AZ100:BS100)</f>
        <v/>
      </c>
      <c r="BZ100" s="61">
        <f>IF(AND(H100=$BU100,BV100&gt;=INT($BU100/4),BV100&lt;=INT($BU100/4)+IF(MOD($BU100,4)&gt;0,1,0),BW100&gt;=INT($BU100/4),BW100&lt;=INT($BU100/4)+IF(MOD($BU100,4)&gt;0,1,0),BX100&gt;=INT($BU100/4),BX100&lt;=INT($BU100/4)+IF(MOD($BU100,4)&gt;0,1,0),BY100&gt;=INT($BU100/4),BY100&lt;=INT($BU100/4)+IF(MOD($BU100,4)&gt;0,1,0)),"OK","CHECK")</f>
        <v/>
      </c>
    </row>
    <row r="101" ht="15" customHeight="1">
      <c r="A101" s="33" t="inlineStr">
        <is>
          <t>Dev dharsan</t>
        </is>
      </c>
      <c r="B101" s="16" t="inlineStr">
        <is>
          <t>MKS00142</t>
        </is>
      </c>
      <c r="C101" s="16" t="n">
        <v>2.6</v>
      </c>
      <c r="D101" s="16" t="inlineStr">
        <is>
          <t>Beginner</t>
        </is>
      </c>
      <c r="E101" s="16" t="inlineStr">
        <is>
          <t>L Beginner1</t>
        </is>
      </c>
      <c r="F101" s="16" t="inlineStr">
        <is>
          <t>2-3 Students for Limited batch</t>
        </is>
      </c>
      <c r="G101" s="61" t="n">
        <v>12</v>
      </c>
      <c r="H101" s="61">
        <f>COUNT(J101:BS101)</f>
        <v/>
      </c>
      <c r="I101" s="63">
        <f>G101-H101</f>
        <v/>
      </c>
      <c r="J101" s="61" t="n"/>
      <c r="K101" s="61" t="n"/>
      <c r="L101" s="22" t="n">
        <v>0.8333333333333334</v>
      </c>
      <c r="M101" s="23" t="inlineStr">
        <is>
          <t>Manikandan</t>
        </is>
      </c>
      <c r="N101" s="60" t="n">
        <v>0.7083333333333334</v>
      </c>
      <c r="O101" s="61" t="inlineStr">
        <is>
          <t>Dhaanush</t>
        </is>
      </c>
      <c r="P101" s="32" t="n">
        <v>0.4583333333333333</v>
      </c>
      <c r="Q101" s="19" t="inlineStr">
        <is>
          <t>Guru</t>
        </is>
      </c>
      <c r="R101" s="61" t="n"/>
      <c r="S101" s="61" t="n"/>
      <c r="T101" s="61" t="n"/>
      <c r="U101" s="61" t="n"/>
      <c r="V101" s="61" t="n"/>
      <c r="W101" s="61" t="n"/>
      <c r="X101" s="61" t="n"/>
      <c r="Y101" s="61" t="n"/>
      <c r="Z101" s="56" t="n">
        <v>0.8333333333333334</v>
      </c>
      <c r="AA101" s="57" t="inlineStr">
        <is>
          <t>Manikandan</t>
        </is>
      </c>
      <c r="AB101" s="54" t="n">
        <v>0.7083333333333334</v>
      </c>
      <c r="AC101" s="55" t="inlineStr">
        <is>
          <t>Dhaanush</t>
        </is>
      </c>
      <c r="AD101" s="60" t="n">
        <v>0.4583333333333333</v>
      </c>
      <c r="AE101" s="61" t="inlineStr">
        <is>
          <t>Manikandan</t>
        </is>
      </c>
      <c r="AF101" s="55" t="n"/>
      <c r="AG101" s="55" t="n"/>
      <c r="AH101" s="55" t="n"/>
      <c r="AI101" s="55" t="n"/>
      <c r="AJ101" s="54" t="n"/>
      <c r="AK101" s="55" t="n"/>
      <c r="AL101" s="54" t="n">
        <v>0.8333333333333334</v>
      </c>
      <c r="AM101" s="55" t="inlineStr">
        <is>
          <t>Bathri</t>
        </is>
      </c>
      <c r="AN101" s="56" t="n">
        <v>0.8333333333333334</v>
      </c>
      <c r="AO101" s="57" t="inlineStr">
        <is>
          <t>Manikandan</t>
        </is>
      </c>
      <c r="AP101" s="61" t="n"/>
      <c r="AQ101" s="61" t="n"/>
      <c r="AR101" s="32" t="n">
        <v>0.4583333333333333</v>
      </c>
      <c r="AS101" s="19" t="inlineStr">
        <is>
          <t>Manikandan</t>
        </is>
      </c>
      <c r="AT101" s="61" t="n"/>
      <c r="AU101" s="61" t="n"/>
      <c r="AV101" s="61" t="n"/>
      <c r="AW101" s="61" t="n"/>
      <c r="AX101" s="61" t="n"/>
      <c r="AY101" s="61" t="n"/>
      <c r="AZ101" s="61" t="n"/>
      <c r="BA101" s="61" t="n"/>
      <c r="BB101" s="56" t="n">
        <v>0.8333333333333334</v>
      </c>
      <c r="BC101" s="57" t="inlineStr">
        <is>
          <t>Manikandan</t>
        </is>
      </c>
      <c r="BD101" s="60" t="n">
        <v>0.7083333333333334</v>
      </c>
      <c r="BE101" s="61" t="inlineStr">
        <is>
          <t>Dhaanush</t>
        </is>
      </c>
      <c r="BF101" s="32" t="n">
        <v>0.4583333333333333</v>
      </c>
      <c r="BG101" s="19" t="inlineStr">
        <is>
          <t>Manikandan</t>
        </is>
      </c>
      <c r="BH101" s="61" t="n"/>
      <c r="BI101" s="61" t="n"/>
      <c r="BJ101" s="61" t="n"/>
      <c r="BK101" s="61" t="n"/>
      <c r="BL101" s="61" t="n"/>
      <c r="BM101" s="61" t="n"/>
      <c r="BN101" s="61" t="n"/>
      <c r="BO101" s="61" t="n"/>
      <c r="BP101" s="61" t="n"/>
      <c r="BQ101" s="61" t="n"/>
      <c r="BR101" s="61" t="n"/>
      <c r="BS101" s="61" t="n"/>
      <c r="BT101" s="16" t="inlineStr">
        <is>
          <t>Coach pref: Manikandan | Newly assigned for Oct</t>
        </is>
      </c>
      <c r="BU101" s="61">
        <f>MIN(G101,12)</f>
        <v/>
      </c>
      <c r="BV101" s="61">
        <f>COUNT(J101:W101)</f>
        <v/>
      </c>
      <c r="BW101" s="61">
        <f>COUNT(X101:AK101)</f>
        <v/>
      </c>
      <c r="BX101" s="61">
        <f>COUNT(AL101:AY101)</f>
        <v/>
      </c>
      <c r="BY101" s="61">
        <f>COUNT(AZ101:BS101)</f>
        <v/>
      </c>
      <c r="BZ101" s="61">
        <f>IF(AND(H101=$BU101,BV101&gt;=INT($BU101/4),BV101&lt;=INT($BU101/4)+IF(MOD($BU101,4)&gt;0,1,0),BW101&gt;=INT($BU101/4),BW101&lt;=INT($BU101/4)+IF(MOD($BU101,4)&gt;0,1,0),BX101&gt;=INT($BU101/4),BX101&lt;=INT($BU101/4)+IF(MOD($BU101,4)&gt;0,1,0),BY101&gt;=INT($BU101/4),BY101&lt;=INT($BU101/4)+IF(MOD($BU101,4)&gt;0,1,0)),"OK","CHECK")</f>
        <v/>
      </c>
    </row>
    <row r="102" ht="15" customHeight="1">
      <c r="A102" s="16" t="inlineStr">
        <is>
          <t>Avyukt A Praveen</t>
        </is>
      </c>
      <c r="B102" s="16" t="inlineStr">
        <is>
          <t>MKS00174</t>
        </is>
      </c>
      <c r="C102" s="16" t="n">
        <v>3.3</v>
      </c>
      <c r="D102" s="16" t="inlineStr">
        <is>
          <t>Beginner</t>
        </is>
      </c>
      <c r="E102" s="16" t="inlineStr">
        <is>
          <t>G Beginner2</t>
        </is>
      </c>
      <c r="F102" s="16" t="n"/>
      <c r="G102" s="61" t="n">
        <v>8</v>
      </c>
      <c r="H102" s="61">
        <f>COUNT(J102:BS102)</f>
        <v/>
      </c>
      <c r="I102" s="63">
        <f>G102-H102</f>
        <v/>
      </c>
      <c r="J102" s="61" t="n"/>
      <c r="K102" s="61" t="n"/>
      <c r="L102" s="61" t="n"/>
      <c r="M102" s="61" t="n"/>
      <c r="N102" s="60" t="n">
        <v>0.7083333333333334</v>
      </c>
      <c r="O102" s="61" t="inlineStr">
        <is>
          <t>Dhaanush</t>
        </is>
      </c>
      <c r="P102" s="24" t="n">
        <v>0.4583333333333333</v>
      </c>
      <c r="Q102" s="25" t="inlineStr">
        <is>
          <t>Manikandan</t>
        </is>
      </c>
      <c r="R102" s="61" t="n"/>
      <c r="S102" s="61" t="n"/>
      <c r="T102" s="61" t="n"/>
      <c r="U102" s="61" t="n"/>
      <c r="V102" s="61" t="n"/>
      <c r="W102" s="61" t="n"/>
      <c r="X102" s="61" t="n"/>
      <c r="Y102" s="61" t="n"/>
      <c r="Z102" s="61" t="n"/>
      <c r="AA102" s="61" t="n"/>
      <c r="AB102" s="60" t="n">
        <v>0.7083333333333334</v>
      </c>
      <c r="AC102" s="61" t="inlineStr">
        <is>
          <t>Dhaanush</t>
        </is>
      </c>
      <c r="AD102" s="24" t="n">
        <v>0.4583333333333333</v>
      </c>
      <c r="AE102" s="25" t="inlineStr">
        <is>
          <t>Prakash</t>
        </is>
      </c>
      <c r="AF102" s="61" t="n"/>
      <c r="AG102" s="61" t="n"/>
      <c r="AH102" s="61" t="n"/>
      <c r="AI102" s="61" t="n"/>
      <c r="AJ102" s="61" t="n"/>
      <c r="AK102" s="61" t="n"/>
      <c r="AL102" s="61" t="n"/>
      <c r="AM102" s="61" t="n"/>
      <c r="AN102" s="61" t="n"/>
      <c r="AO102" s="61" t="n"/>
      <c r="AP102" s="60" t="n">
        <v>0.7083333333333334</v>
      </c>
      <c r="AQ102" s="61" t="inlineStr">
        <is>
          <t>Dhaanush</t>
        </is>
      </c>
      <c r="AR102" s="24" t="n">
        <v>0.4583333333333333</v>
      </c>
      <c r="AS102" s="25" t="inlineStr">
        <is>
          <t>Hema</t>
        </is>
      </c>
      <c r="AT102" s="61" t="n"/>
      <c r="AU102" s="61" t="n"/>
      <c r="AV102" s="61" t="n"/>
      <c r="AW102" s="61" t="n"/>
      <c r="AX102" s="61" t="n"/>
      <c r="AY102" s="61" t="n"/>
      <c r="AZ102" s="61" t="n"/>
      <c r="BA102" s="61" t="n"/>
      <c r="BB102" s="61" t="n"/>
      <c r="BC102" s="61" t="n"/>
      <c r="BD102" s="60" t="n">
        <v>0.7083333333333334</v>
      </c>
      <c r="BE102" s="61" t="inlineStr">
        <is>
          <t>Dhaanush</t>
        </is>
      </c>
      <c r="BF102" s="19" t="n"/>
      <c r="BG102" s="19" t="n"/>
      <c r="BH102" s="61" t="n"/>
      <c r="BI102" s="61" t="n"/>
      <c r="BJ102" s="61" t="n"/>
      <c r="BK102" s="61" t="n"/>
      <c r="BL102" s="61" t="n"/>
      <c r="BM102" s="61" t="n"/>
      <c r="BN102" s="61" t="n"/>
      <c r="BO102" s="61" t="n"/>
      <c r="BP102" s="61" t="n"/>
      <c r="BQ102" s="61" t="n"/>
      <c r="BR102" s="60" t="n">
        <v>0.7083333333333334</v>
      </c>
      <c r="BS102" s="61" t="inlineStr">
        <is>
          <t>Dhaanush</t>
        </is>
      </c>
      <c r="BT102" s="16" t="n"/>
      <c r="BU102" s="61">
        <f>MIN(G102,12)</f>
        <v/>
      </c>
      <c r="BV102" s="61">
        <f>COUNT(J102:W102)</f>
        <v/>
      </c>
      <c r="BW102" s="61">
        <f>COUNT(X102:AK102)</f>
        <v/>
      </c>
      <c r="BX102" s="61">
        <f>COUNT(AL102:AY102)</f>
        <v/>
      </c>
      <c r="BY102" s="61">
        <f>COUNT(AZ102:BS102)</f>
        <v/>
      </c>
      <c r="BZ102" s="61">
        <f>IF(AND(H102=$BU102,BV102&gt;=INT($BU102/4),BV102&lt;=INT($BU102/4)+IF(MOD($BU102,4)&gt;0,1,0),BW102&gt;=INT($BU102/4),BW102&lt;=INT($BU102/4)+IF(MOD($BU102,4)&gt;0,1,0),BX102&gt;=INT($BU102/4),BX102&lt;=INT($BU102/4)+IF(MOD($BU102,4)&gt;0,1,0),BY102&gt;=INT($BU102/4),BY102&lt;=INT($BU102/4)+IF(MOD($BU102,4)&gt;0,1,0)),"OK","CHECK")</f>
        <v/>
      </c>
    </row>
    <row r="103" ht="15" customHeight="1">
      <c r="A103" s="16" t="inlineStr">
        <is>
          <t>M. R. Darshan</t>
        </is>
      </c>
      <c r="B103" s="16" t="inlineStr">
        <is>
          <t>MKS00101</t>
        </is>
      </c>
      <c r="C103" s="16" t="n">
        <v>3.5</v>
      </c>
      <c r="D103" s="28" t="inlineStr">
        <is>
          <t>Beginner</t>
        </is>
      </c>
      <c r="E103" s="28" t="inlineStr">
        <is>
          <t>G Beginner2</t>
        </is>
      </c>
      <c r="F103" s="16" t="n"/>
      <c r="G103" s="61" t="n">
        <v>12</v>
      </c>
      <c r="H103" s="61">
        <f>COUNT(J103:BS103)</f>
        <v/>
      </c>
      <c r="I103" s="63">
        <f>G103-H103</f>
        <v/>
      </c>
      <c r="J103" s="61" t="n"/>
      <c r="K103" s="61" t="n"/>
      <c r="L103" s="48" t="n">
        <v>0.7916666666666666</v>
      </c>
      <c r="M103" s="49" t="inlineStr">
        <is>
          <t>Prakash</t>
        </is>
      </c>
      <c r="N103" s="60" t="n">
        <v>0.75</v>
      </c>
      <c r="O103" s="61" t="inlineStr">
        <is>
          <t>Prakash</t>
        </is>
      </c>
      <c r="P103" s="32" t="n">
        <v>0.4583333333333333</v>
      </c>
      <c r="Q103" s="19" t="inlineStr">
        <is>
          <t>Guru</t>
        </is>
      </c>
      <c r="R103" s="61" t="n"/>
      <c r="S103" s="61" t="n"/>
      <c r="T103" s="61" t="n"/>
      <c r="U103" s="61" t="n"/>
      <c r="V103" s="61" t="n"/>
      <c r="W103" s="61" t="n"/>
      <c r="X103" s="61" t="n"/>
      <c r="Y103" s="61" t="n"/>
      <c r="Z103" s="48" t="n">
        <v>0.7916666666666666</v>
      </c>
      <c r="AA103" s="49" t="inlineStr">
        <is>
          <t>Prakash</t>
        </is>
      </c>
      <c r="AB103" s="60" t="n">
        <v>0.75</v>
      </c>
      <c r="AC103" s="61" t="inlineStr">
        <is>
          <t>Prakash</t>
        </is>
      </c>
      <c r="AD103" s="32" t="n">
        <v>0.7916666666666666</v>
      </c>
      <c r="AE103" s="19" t="inlineStr">
        <is>
          <t>Prakash</t>
        </is>
      </c>
      <c r="AF103" s="48" t="n"/>
      <c r="AG103" s="49" t="n"/>
      <c r="AH103" s="48" t="n"/>
      <c r="AI103" s="49" t="n"/>
      <c r="AJ103" s="48" t="n"/>
      <c r="AK103" s="49" t="n"/>
      <c r="AL103" s="48" t="n"/>
      <c r="AM103" s="49" t="n"/>
      <c r="AN103" s="48" t="n">
        <v>0.7916666666666666</v>
      </c>
      <c r="AO103" s="49" t="inlineStr">
        <is>
          <t>Prakash</t>
        </is>
      </c>
      <c r="AP103" s="60" t="n">
        <v>0.75</v>
      </c>
      <c r="AQ103" s="61" t="inlineStr">
        <is>
          <t>Prakash</t>
        </is>
      </c>
      <c r="AR103" s="32" t="n">
        <v>0.4583333333333333</v>
      </c>
      <c r="AS103" s="19" t="inlineStr">
        <is>
          <t>Guru</t>
        </is>
      </c>
      <c r="AT103" s="60" t="n"/>
      <c r="AU103" s="61" t="n"/>
      <c r="AV103" s="61" t="n"/>
      <c r="AW103" s="61" t="n"/>
      <c r="AX103" s="61" t="n"/>
      <c r="AY103" s="61" t="n"/>
      <c r="AZ103" s="61" t="n"/>
      <c r="BA103" s="61" t="n"/>
      <c r="BB103" s="61" t="n"/>
      <c r="BC103" s="61" t="n"/>
      <c r="BD103" s="60" t="n">
        <v>0.75</v>
      </c>
      <c r="BE103" s="61" t="inlineStr">
        <is>
          <t>Prakash</t>
        </is>
      </c>
      <c r="BF103" s="32" t="n">
        <v>0.4583333333333333</v>
      </c>
      <c r="BG103" s="19" t="inlineStr">
        <is>
          <t>Guru</t>
        </is>
      </c>
      <c r="BH103" s="61" t="n"/>
      <c r="BI103" s="61" t="n"/>
      <c r="BJ103" s="61" t="n"/>
      <c r="BK103" s="61" t="n"/>
      <c r="BL103" s="61" t="n"/>
      <c r="BM103" s="61" t="n"/>
      <c r="BN103" s="61" t="n"/>
      <c r="BO103" s="61" t="n"/>
      <c r="BP103" s="61" t="n"/>
      <c r="BQ103" s="61" t="n"/>
      <c r="BR103" s="60" t="n">
        <v>0.75</v>
      </c>
      <c r="BS103" s="61" t="inlineStr">
        <is>
          <t>Prakash</t>
        </is>
      </c>
      <c r="BT103" s="16" t="n"/>
      <c r="BU103" s="61">
        <f>MIN(G103,12)</f>
        <v/>
      </c>
      <c r="BV103" s="61">
        <f>COUNT(J103:W103)</f>
        <v/>
      </c>
      <c r="BW103" s="61">
        <f>COUNT(X103:AK103)</f>
        <v/>
      </c>
      <c r="BX103" s="61">
        <f>COUNT(AL103:AY103)</f>
        <v/>
      </c>
      <c r="BY103" s="61">
        <f>COUNT(AZ103:BS103)</f>
        <v/>
      </c>
      <c r="BZ103" s="61">
        <f>IF(AND(H103=$BU103,BV103&gt;=INT($BU103/4),BV103&lt;=INT($BU103/4)+IF(MOD($BU103,4)&gt;0,1,0),BW103&gt;=INT($BU103/4),BW103&lt;=INT($BU103/4)+IF(MOD($BU103,4)&gt;0,1,0),BX103&gt;=INT($BU103/4),BX103&lt;=INT($BU103/4)+IF(MOD($BU103,4)&gt;0,1,0),BY103&gt;=INT($BU103/4),BY103&lt;=INT($BU103/4)+IF(MOD($BU103,4)&gt;0,1,0)),"OK","CHECK")</f>
        <v/>
      </c>
    </row>
    <row r="104" ht="15" customHeight="1">
      <c r="A104" s="16" t="inlineStr">
        <is>
          <t>Nitharsana</t>
        </is>
      </c>
      <c r="B104" s="16" t="inlineStr">
        <is>
          <t>MKS00095</t>
        </is>
      </c>
      <c r="C104" s="16" t="n">
        <v>3.3</v>
      </c>
      <c r="D104" s="28" t="inlineStr">
        <is>
          <t>Beginner</t>
        </is>
      </c>
      <c r="E104" s="28" t="inlineStr">
        <is>
          <t>G Beginner2</t>
        </is>
      </c>
      <c r="F104" s="16" t="n"/>
      <c r="G104" s="61" t="n">
        <v>12</v>
      </c>
      <c r="H104" s="61">
        <f>COUNT(J104:BS104)</f>
        <v/>
      </c>
      <c r="I104" s="63">
        <f>G104-H104</f>
        <v/>
      </c>
      <c r="J104" s="61" t="n"/>
      <c r="K104" s="61" t="n"/>
      <c r="L104" s="48" t="n">
        <v>0.7916666666666666</v>
      </c>
      <c r="M104" s="49" t="inlineStr">
        <is>
          <t>Prakash</t>
        </is>
      </c>
      <c r="N104" s="60" t="n">
        <v>0.75</v>
      </c>
      <c r="O104" s="61" t="inlineStr">
        <is>
          <t>Prakash</t>
        </is>
      </c>
      <c r="P104" s="32" t="n">
        <v>0.4583333333333333</v>
      </c>
      <c r="Q104" s="19" t="inlineStr">
        <is>
          <t>Guru</t>
        </is>
      </c>
      <c r="R104" s="61" t="n"/>
      <c r="S104" s="61" t="n"/>
      <c r="T104" s="61" t="n"/>
      <c r="U104" s="61" t="n"/>
      <c r="V104" s="61" t="n"/>
      <c r="W104" s="61" t="n"/>
      <c r="X104" s="61" t="n"/>
      <c r="Y104" s="61" t="n"/>
      <c r="Z104" s="48" t="n">
        <v>0.7916666666666666</v>
      </c>
      <c r="AA104" s="49" t="inlineStr">
        <is>
          <t>Prakash</t>
        </is>
      </c>
      <c r="AB104" s="60" t="n">
        <v>0.75</v>
      </c>
      <c r="AC104" s="61" t="inlineStr">
        <is>
          <t>Prakash</t>
        </is>
      </c>
      <c r="AD104" s="32" t="n">
        <v>0.7916666666666666</v>
      </c>
      <c r="AE104" s="19" t="inlineStr">
        <is>
          <t>Prakash</t>
        </is>
      </c>
      <c r="AF104" s="48" t="n"/>
      <c r="AG104" s="49" t="n"/>
      <c r="AH104" s="48" t="n"/>
      <c r="AI104" s="49" t="n"/>
      <c r="AJ104" s="48" t="n"/>
      <c r="AK104" s="49" t="n"/>
      <c r="AL104" s="48" t="n"/>
      <c r="AM104" s="49" t="n"/>
      <c r="AN104" s="48" t="n">
        <v>0.7916666666666666</v>
      </c>
      <c r="AO104" s="49" t="inlineStr">
        <is>
          <t>Prakash</t>
        </is>
      </c>
      <c r="AP104" s="60" t="n">
        <v>0.75</v>
      </c>
      <c r="AQ104" s="61" t="inlineStr">
        <is>
          <t>Prakash</t>
        </is>
      </c>
      <c r="AR104" s="32" t="n">
        <v>0.4583333333333333</v>
      </c>
      <c r="AS104" s="19" t="inlineStr">
        <is>
          <t>Guru</t>
        </is>
      </c>
      <c r="AT104" s="60" t="n"/>
      <c r="AU104" s="61" t="n"/>
      <c r="AV104" s="61" t="n"/>
      <c r="AW104" s="61" t="n"/>
      <c r="AX104" s="61" t="n"/>
      <c r="AY104" s="61" t="n"/>
      <c r="AZ104" s="61" t="n"/>
      <c r="BA104" s="61" t="n"/>
      <c r="BB104" s="61" t="n"/>
      <c r="BC104" s="61" t="n"/>
      <c r="BD104" s="60" t="n">
        <v>0.75</v>
      </c>
      <c r="BE104" s="61" t="inlineStr">
        <is>
          <t>Prakash</t>
        </is>
      </c>
      <c r="BF104" s="32" t="n">
        <v>0.4583333333333333</v>
      </c>
      <c r="BG104" s="19" t="inlineStr">
        <is>
          <t>Guru</t>
        </is>
      </c>
      <c r="BH104" s="61" t="n"/>
      <c r="BI104" s="61" t="n"/>
      <c r="BJ104" s="61" t="n"/>
      <c r="BK104" s="61" t="n"/>
      <c r="BL104" s="61" t="n"/>
      <c r="BM104" s="61" t="n"/>
      <c r="BN104" s="61" t="n"/>
      <c r="BO104" s="61" t="n"/>
      <c r="BP104" s="61" t="n"/>
      <c r="BQ104" s="61" t="n"/>
      <c r="BR104" s="60" t="n">
        <v>0.75</v>
      </c>
      <c r="BS104" s="61" t="inlineStr">
        <is>
          <t>Prakash</t>
        </is>
      </c>
      <c r="BT104" s="16" t="n"/>
      <c r="BU104" s="61">
        <f>MIN(G104,12)</f>
        <v/>
      </c>
      <c r="BV104" s="61">
        <f>COUNT(J104:W104)</f>
        <v/>
      </c>
      <c r="BW104" s="61">
        <f>COUNT(X104:AK104)</f>
        <v/>
      </c>
      <c r="BX104" s="61">
        <f>COUNT(AL104:AY104)</f>
        <v/>
      </c>
      <c r="BY104" s="61">
        <f>COUNT(AZ104:BS104)</f>
        <v/>
      </c>
      <c r="BZ104" s="61">
        <f>IF(AND(H104=$BU104,BV104&gt;=INT($BU104/4),BV104&lt;=INT($BU104/4)+IF(MOD($BU104,4)&gt;0,1,0),BW104&gt;=INT($BU104/4),BW104&lt;=INT($BU104/4)+IF(MOD($BU104,4)&gt;0,1,0),BX104&gt;=INT($BU104/4),BX104&lt;=INT($BU104/4)+IF(MOD($BU104,4)&gt;0,1,0),BY104&gt;=INT($BU104/4),BY104&lt;=INT($BU104/4)+IF(MOD($BU104,4)&gt;0,1,0)),"OK","CHECK")</f>
        <v/>
      </c>
    </row>
    <row r="105" ht="15" customHeight="1">
      <c r="A105" s="16" t="inlineStr">
        <is>
          <t>A.T.Vagish</t>
        </is>
      </c>
      <c r="B105" s="16" t="inlineStr">
        <is>
          <t>MKS00149</t>
        </is>
      </c>
      <c r="C105" s="16" t="n">
        <v>2.8</v>
      </c>
      <c r="D105" s="16" t="inlineStr">
        <is>
          <t>Beginner</t>
        </is>
      </c>
      <c r="E105" s="16" t="inlineStr">
        <is>
          <t>G Beginner1</t>
        </is>
      </c>
      <c r="F105" s="16" t="n"/>
      <c r="G105" s="61" t="n">
        <v>12</v>
      </c>
      <c r="H105" s="61">
        <f>COUNT(J105:BS105)</f>
        <v/>
      </c>
      <c r="I105" s="63">
        <f>G105-H105</f>
        <v/>
      </c>
      <c r="J105" s="61" t="n"/>
      <c r="K105" s="61" t="n"/>
      <c r="L105" s="48" t="n">
        <v>0.7916666666666666</v>
      </c>
      <c r="M105" s="49" t="inlineStr">
        <is>
          <t>Prakash</t>
        </is>
      </c>
      <c r="N105" s="60" t="n">
        <v>0.75</v>
      </c>
      <c r="O105" s="61" t="inlineStr">
        <is>
          <t>Prakash</t>
        </is>
      </c>
      <c r="P105" s="32" t="n">
        <v>0.4583333333333333</v>
      </c>
      <c r="Q105" s="19" t="inlineStr">
        <is>
          <t>Guru</t>
        </is>
      </c>
      <c r="R105" s="61" t="n"/>
      <c r="S105" s="61" t="n"/>
      <c r="T105" s="61" t="n"/>
      <c r="U105" s="61" t="n"/>
      <c r="V105" s="61" t="n"/>
      <c r="W105" s="61" t="n"/>
      <c r="X105" s="61" t="n"/>
      <c r="Y105" s="61" t="n"/>
      <c r="Z105" s="48" t="n">
        <v>0.7916666666666666</v>
      </c>
      <c r="AA105" s="49" t="inlineStr">
        <is>
          <t>Prakash</t>
        </is>
      </c>
      <c r="AB105" s="60" t="n">
        <v>0.75</v>
      </c>
      <c r="AC105" s="61" t="inlineStr">
        <is>
          <t>Prakash</t>
        </is>
      </c>
      <c r="AD105" s="32" t="n">
        <v>0.7916666666666666</v>
      </c>
      <c r="AE105" s="19" t="inlineStr">
        <is>
          <t>Prakash</t>
        </is>
      </c>
      <c r="AF105" s="48" t="n"/>
      <c r="AG105" s="49" t="n"/>
      <c r="AH105" s="48" t="n"/>
      <c r="AI105" s="49" t="n"/>
      <c r="AJ105" s="48" t="n"/>
      <c r="AK105" s="49" t="n"/>
      <c r="AL105" s="48" t="n"/>
      <c r="AM105" s="49" t="n"/>
      <c r="AN105" s="48" t="n">
        <v>0.7916666666666666</v>
      </c>
      <c r="AO105" s="49" t="inlineStr">
        <is>
          <t>Prakash</t>
        </is>
      </c>
      <c r="AP105" s="60" t="n">
        <v>0.75</v>
      </c>
      <c r="AQ105" s="61" t="inlineStr">
        <is>
          <t>Prakash</t>
        </is>
      </c>
      <c r="AR105" s="32" t="n">
        <v>0.4583333333333333</v>
      </c>
      <c r="AS105" s="19" t="inlineStr">
        <is>
          <t>Guru</t>
        </is>
      </c>
      <c r="AT105" s="60" t="n"/>
      <c r="AU105" s="61" t="n"/>
      <c r="AV105" s="61" t="n"/>
      <c r="AW105" s="61" t="n"/>
      <c r="AX105" s="61" t="n"/>
      <c r="AY105" s="61" t="n"/>
      <c r="AZ105" s="61" t="n"/>
      <c r="BA105" s="61" t="n"/>
      <c r="BB105" s="61" t="n"/>
      <c r="BC105" s="61" t="n"/>
      <c r="BD105" s="60" t="n">
        <v>0.75</v>
      </c>
      <c r="BE105" s="61" t="inlineStr">
        <is>
          <t>Prakash</t>
        </is>
      </c>
      <c r="BF105" s="32" t="n">
        <v>0.4583333333333333</v>
      </c>
      <c r="BG105" s="19" t="inlineStr">
        <is>
          <t>Guru</t>
        </is>
      </c>
      <c r="BH105" s="61" t="n"/>
      <c r="BI105" s="61" t="n"/>
      <c r="BJ105" s="61" t="n"/>
      <c r="BK105" s="61" t="n"/>
      <c r="BL105" s="61" t="n"/>
      <c r="BM105" s="61" t="n"/>
      <c r="BN105" s="61" t="n"/>
      <c r="BO105" s="61" t="n"/>
      <c r="BP105" s="61" t="n"/>
      <c r="BQ105" s="61" t="n"/>
      <c r="BR105" s="60" t="n">
        <v>0.75</v>
      </c>
      <c r="BS105" s="61" t="inlineStr">
        <is>
          <t>Prakash</t>
        </is>
      </c>
      <c r="BT105" s="16" t="n"/>
      <c r="BU105" s="61">
        <f>MIN(G105,12)</f>
        <v/>
      </c>
      <c r="BV105" s="61">
        <f>COUNT(J105:W105)</f>
        <v/>
      </c>
      <c r="BW105" s="61">
        <f>COUNT(X105:AK105)</f>
        <v/>
      </c>
      <c r="BX105" s="61">
        <f>COUNT(AL105:AY105)</f>
        <v/>
      </c>
      <c r="BY105" s="61">
        <f>COUNT(AZ105:BS105)</f>
        <v/>
      </c>
      <c r="BZ105" s="61">
        <f>IF(AND(H105=$BU105,BV105&gt;=INT($BU105/4),BV105&lt;=INT($BU105/4)+IF(MOD($BU105,4)&gt;0,1,0),BW105&gt;=INT($BU105/4),BW105&lt;=INT($BU105/4)+IF(MOD($BU105,4)&gt;0,1,0),BX105&gt;=INT($BU105/4),BX105&lt;=INT($BU105/4)+IF(MOD($BU105,4)&gt;0,1,0),BY105&gt;=INT($BU105/4),BY105&lt;=INT($BU105/4)+IF(MOD($BU105,4)&gt;0,1,0)),"OK","CHECK")</f>
        <v/>
      </c>
    </row>
    <row r="106" ht="15" customHeight="1">
      <c r="A106" s="16" t="inlineStr">
        <is>
          <t>A R Thatchiraa Shree</t>
        </is>
      </c>
      <c r="B106" s="16" t="inlineStr">
        <is>
          <t>MKS00172</t>
        </is>
      </c>
      <c r="C106" s="16" t="n">
        <v>2.8</v>
      </c>
      <c r="D106" s="29" t="inlineStr">
        <is>
          <t>Beginner</t>
        </is>
      </c>
      <c r="E106" s="29" t="inlineStr">
        <is>
          <t>G beginner1s</t>
        </is>
      </c>
      <c r="F106" s="29" t="inlineStr">
        <is>
          <t>Only Available on Friday 7pm, Saturday after6pm, Sunday Tournament</t>
        </is>
      </c>
      <c r="G106" s="61" t="n">
        <v>12</v>
      </c>
      <c r="H106" s="61">
        <f>COUNT(J106:BS106)</f>
        <v/>
      </c>
      <c r="I106" s="63">
        <f>G106-H106</f>
        <v/>
      </c>
      <c r="J106" s="60" t="n"/>
      <c r="K106" s="61" t="n"/>
      <c r="L106" s="60" t="n">
        <v>0.7916666666666666</v>
      </c>
      <c r="M106" s="61" t="inlineStr">
        <is>
          <t>Prakash</t>
        </is>
      </c>
      <c r="N106" s="22" t="n">
        <v>0.8333333333333334</v>
      </c>
      <c r="O106" s="23" t="inlineStr">
        <is>
          <t>Guru</t>
        </is>
      </c>
      <c r="P106" s="32" t="n">
        <v>0.4583333333333333</v>
      </c>
      <c r="Q106" s="19" t="inlineStr">
        <is>
          <t>Prakash</t>
        </is>
      </c>
      <c r="R106" s="61" t="n"/>
      <c r="S106" s="61" t="n"/>
      <c r="T106" s="61" t="n"/>
      <c r="U106" s="61" t="n"/>
      <c r="V106" s="61" t="n"/>
      <c r="W106" s="61" t="n"/>
      <c r="X106" s="61" t="n"/>
      <c r="Y106" s="61" t="n"/>
      <c r="Z106" s="60" t="n">
        <v>0.7916666666666666</v>
      </c>
      <c r="AA106" s="61" t="inlineStr">
        <is>
          <t>Prakash</t>
        </is>
      </c>
      <c r="AB106" s="60" t="n">
        <v>0.8333333333333334</v>
      </c>
      <c r="AC106" s="61" t="inlineStr">
        <is>
          <t>Bathri</t>
        </is>
      </c>
      <c r="AD106" s="32" t="n">
        <v>0.4583333333333333</v>
      </c>
      <c r="AE106" s="19" t="inlineStr">
        <is>
          <t>Prakash</t>
        </is>
      </c>
      <c r="AF106" s="61" t="n"/>
      <c r="AG106" s="61" t="n"/>
      <c r="AH106" s="61" t="n"/>
      <c r="AI106" s="61" t="n"/>
      <c r="AJ106" s="61" t="n"/>
      <c r="AK106" s="61" t="n"/>
      <c r="AL106" s="61" t="n"/>
      <c r="AM106" s="61" t="n"/>
      <c r="AN106" s="60" t="n">
        <v>0.7916666666666666</v>
      </c>
      <c r="AO106" s="61" t="inlineStr">
        <is>
          <t>Prakash</t>
        </is>
      </c>
      <c r="AP106" s="60" t="n">
        <v>0.8333333333333334</v>
      </c>
      <c r="AQ106" s="61" t="inlineStr">
        <is>
          <t>Bathri</t>
        </is>
      </c>
      <c r="AR106" s="32" t="n">
        <v>0.4583333333333333</v>
      </c>
      <c r="AS106" s="19" t="inlineStr">
        <is>
          <t>Prakash</t>
        </is>
      </c>
      <c r="AT106" s="61" t="n"/>
      <c r="AU106" s="61" t="n"/>
      <c r="AV106" s="61" t="n"/>
      <c r="AW106" s="61" t="n"/>
      <c r="AX106" s="61" t="n"/>
      <c r="AY106" s="61" t="n"/>
      <c r="AZ106" s="61" t="n"/>
      <c r="BA106" s="61" t="n"/>
      <c r="BB106" s="61" t="n"/>
      <c r="BC106" s="61" t="n"/>
      <c r="BD106" s="60" t="n">
        <v>0.8333333333333334</v>
      </c>
      <c r="BE106" s="61" t="inlineStr">
        <is>
          <t>Bathri</t>
        </is>
      </c>
      <c r="BF106" s="32" t="n">
        <v>0.4583333333333333</v>
      </c>
      <c r="BG106" s="19" t="inlineStr">
        <is>
          <t>Prakash</t>
        </is>
      </c>
      <c r="BH106" s="61" t="n"/>
      <c r="BI106" s="61" t="n"/>
      <c r="BJ106" s="61" t="n"/>
      <c r="BK106" s="61" t="n"/>
      <c r="BL106" s="61" t="n"/>
      <c r="BM106" s="61" t="n"/>
      <c r="BN106" s="61" t="n"/>
      <c r="BO106" s="61" t="n"/>
      <c r="BP106" s="60" t="n">
        <v>0.7916666666666666</v>
      </c>
      <c r="BQ106" s="61" t="inlineStr">
        <is>
          <t>Prakash</t>
        </is>
      </c>
      <c r="BR106" s="61" t="n"/>
      <c r="BS106" s="61" t="n"/>
      <c r="BT106" s="16" t="n"/>
      <c r="BU106" s="61">
        <f>MIN(G106,12)</f>
        <v/>
      </c>
      <c r="BV106" s="61">
        <f>COUNT(J106:W106)</f>
        <v/>
      </c>
      <c r="BW106" s="61">
        <f>COUNT(X106:AK106)</f>
        <v/>
      </c>
      <c r="BX106" s="61">
        <f>COUNT(AL106:AY106)</f>
        <v/>
      </c>
      <c r="BY106" s="61">
        <f>COUNT(AZ106:BS106)</f>
        <v/>
      </c>
      <c r="BZ106" s="61">
        <f>IF(AND(H106=$BU106,BV106&gt;=INT($BU106/4),BV106&lt;=INT($BU106/4)+IF(MOD($BU106,4)&gt;0,1,0),BW106&gt;=INT($BU106/4),BW106&lt;=INT($BU106/4)+IF(MOD($BU106,4)&gt;0,1,0),BX106&gt;=INT($BU106/4),BX106&lt;=INT($BU106/4)+IF(MOD($BU106,4)&gt;0,1,0),BY106&gt;=INT($BU106/4),BY106&lt;=INT($BU106/4)+IF(MOD($BU106,4)&gt;0,1,0)),"OK","CHECK")</f>
        <v/>
      </c>
    </row>
    <row r="107" ht="15" customHeight="1">
      <c r="A107" s="16" t="inlineStr">
        <is>
          <t>H V Kanishk</t>
        </is>
      </c>
      <c r="B107" s="16" t="inlineStr">
        <is>
          <t>MKS00154</t>
        </is>
      </c>
      <c r="C107" s="16" t="n">
        <v>2.8</v>
      </c>
      <c r="D107" s="16" t="inlineStr">
        <is>
          <t>Beginner</t>
        </is>
      </c>
      <c r="E107" s="16" t="inlineStr">
        <is>
          <t>G beginner1C</t>
        </is>
      </c>
      <c r="F107" s="16" t="inlineStr">
        <is>
          <t>not available at 6am</t>
        </is>
      </c>
      <c r="G107" s="61" t="n">
        <v>12</v>
      </c>
      <c r="H107" s="61">
        <f>COUNT(J107:BS107)</f>
        <v/>
      </c>
      <c r="I107" s="63">
        <f>G107-H107</f>
        <v/>
      </c>
      <c r="J107" s="61" t="n"/>
      <c r="K107" s="61" t="n"/>
      <c r="L107" s="60" t="n">
        <v>0.7916666666666666</v>
      </c>
      <c r="M107" s="61" t="inlineStr">
        <is>
          <t>Prakash</t>
        </is>
      </c>
      <c r="N107" s="60" t="n">
        <v>0.8333333333333334</v>
      </c>
      <c r="O107" s="61" t="inlineStr">
        <is>
          <t>Bathri</t>
        </is>
      </c>
      <c r="P107" s="32" t="n">
        <v>0.4583333333333333</v>
      </c>
      <c r="Q107" s="19" t="inlineStr">
        <is>
          <t>Prakash</t>
        </is>
      </c>
      <c r="R107" s="61" t="n"/>
      <c r="S107" s="61" t="n"/>
      <c r="T107" s="61" t="n"/>
      <c r="U107" s="61" t="n"/>
      <c r="V107" s="61" t="n"/>
      <c r="W107" s="61" t="n"/>
      <c r="X107" s="61" t="n"/>
      <c r="Y107" s="61" t="n"/>
      <c r="Z107" s="60" t="n">
        <v>0.7916666666666666</v>
      </c>
      <c r="AA107" s="61" t="inlineStr">
        <is>
          <t>Prakash</t>
        </is>
      </c>
      <c r="AB107" s="22" t="n">
        <v>0.8333333333333334</v>
      </c>
      <c r="AC107" s="23" t="inlineStr">
        <is>
          <t>Guru</t>
        </is>
      </c>
      <c r="AD107" s="32" t="n">
        <v>0.4583333333333333</v>
      </c>
      <c r="AE107" s="19" t="inlineStr">
        <is>
          <t>Prakash</t>
        </is>
      </c>
      <c r="AF107" s="61" t="n"/>
      <c r="AG107" s="61" t="n"/>
      <c r="AH107" s="61" t="n"/>
      <c r="AI107" s="61" t="n"/>
      <c r="AJ107" s="60" t="n"/>
      <c r="AK107" s="61" t="n"/>
      <c r="AL107" s="61" t="n"/>
      <c r="AM107" s="61" t="n"/>
      <c r="AN107" s="60" t="n">
        <v>0.7916666666666666</v>
      </c>
      <c r="AO107" s="61" t="inlineStr">
        <is>
          <t>Prakash</t>
        </is>
      </c>
      <c r="AP107" s="60" t="n">
        <v>0.8333333333333334</v>
      </c>
      <c r="AQ107" s="61" t="inlineStr">
        <is>
          <t>Bathri</t>
        </is>
      </c>
      <c r="AR107" s="32" t="n">
        <v>0.4583333333333333</v>
      </c>
      <c r="AS107" s="19" t="inlineStr">
        <is>
          <t>Prakash</t>
        </is>
      </c>
      <c r="AT107" s="61" t="n"/>
      <c r="AU107" s="61" t="n"/>
      <c r="AV107" s="61" t="n"/>
      <c r="AW107" s="61" t="n"/>
      <c r="AX107" s="61" t="n"/>
      <c r="AY107" s="61" t="n"/>
      <c r="AZ107" s="61" t="n"/>
      <c r="BA107" s="61" t="n"/>
      <c r="BB107" s="61" t="n"/>
      <c r="BC107" s="61" t="n"/>
      <c r="BD107" s="60" t="n">
        <v>0.8333333333333334</v>
      </c>
      <c r="BE107" s="61" t="inlineStr">
        <is>
          <t>Bathri</t>
        </is>
      </c>
      <c r="BF107" s="32" t="n">
        <v>0.4583333333333333</v>
      </c>
      <c r="BG107" s="19" t="inlineStr">
        <is>
          <t>Prakash</t>
        </is>
      </c>
      <c r="BH107" s="61" t="n"/>
      <c r="BI107" s="61" t="n"/>
      <c r="BJ107" s="61" t="n"/>
      <c r="BK107" s="61" t="n"/>
      <c r="BL107" s="61" t="n"/>
      <c r="BM107" s="61" t="n"/>
      <c r="BN107" s="61" t="n"/>
      <c r="BO107" s="61" t="n"/>
      <c r="BP107" s="60" t="n">
        <v>0.7916666666666666</v>
      </c>
      <c r="BQ107" s="61" t="inlineStr">
        <is>
          <t>Prakash</t>
        </is>
      </c>
      <c r="BR107" s="61" t="n"/>
      <c r="BS107" s="61" t="n"/>
      <c r="BT107" s="16" t="n"/>
      <c r="BU107" s="61">
        <f>MIN(G107,12)</f>
        <v/>
      </c>
      <c r="BV107" s="61">
        <f>COUNT(J107:W107)</f>
        <v/>
      </c>
      <c r="BW107" s="61">
        <f>COUNT(X107:AK107)</f>
        <v/>
      </c>
      <c r="BX107" s="61">
        <f>COUNT(AL107:AY107)</f>
        <v/>
      </c>
      <c r="BY107" s="61">
        <f>COUNT(AZ107:BS107)</f>
        <v/>
      </c>
      <c r="BZ107" s="61">
        <f>IF(AND(H107=$BU107,BV107&gt;=INT($BU107/4),BV107&lt;=INT($BU107/4)+IF(MOD($BU107,4)&gt;0,1,0),BW107&gt;=INT($BU107/4),BW107&lt;=INT($BU107/4)+IF(MOD($BU107,4)&gt;0,1,0),BX107&gt;=INT($BU107/4),BX107&lt;=INT($BU107/4)+IF(MOD($BU107,4)&gt;0,1,0),BY107&gt;=INT($BU107/4),BY107&lt;=INT($BU107/4)+IF(MOD($BU107,4)&gt;0,1,0)),"OK","CHECK")</f>
        <v/>
      </c>
    </row>
    <row r="108" ht="15" customHeight="1">
      <c r="A108" s="16" t="inlineStr">
        <is>
          <t>S. Thashwin Raj</t>
        </is>
      </c>
      <c r="B108" s="16" t="inlineStr">
        <is>
          <t>MKS00155</t>
        </is>
      </c>
      <c r="C108" s="16" t="n">
        <v>2.6</v>
      </c>
      <c r="D108" s="16" t="inlineStr">
        <is>
          <t>Beginner</t>
        </is>
      </c>
      <c r="E108" s="16" t="inlineStr">
        <is>
          <t>G beginner1C</t>
        </is>
      </c>
      <c r="F108" s="16" t="n"/>
      <c r="G108" s="61" t="n">
        <v>12</v>
      </c>
      <c r="H108" s="61">
        <f>COUNT(J108:BS108)</f>
        <v/>
      </c>
      <c r="I108" s="63">
        <f>G108-H108</f>
        <v/>
      </c>
      <c r="J108" s="61" t="n"/>
      <c r="K108" s="61" t="n"/>
      <c r="L108" s="60" t="n">
        <v>0.7916666666666666</v>
      </c>
      <c r="M108" s="61" t="inlineStr">
        <is>
          <t>Prakash</t>
        </is>
      </c>
      <c r="N108" s="60" t="n">
        <v>0.8333333333333334</v>
      </c>
      <c r="O108" s="61" t="inlineStr">
        <is>
          <t>Bathri</t>
        </is>
      </c>
      <c r="P108" s="32" t="n">
        <v>0.4583333333333333</v>
      </c>
      <c r="Q108" s="19" t="inlineStr">
        <is>
          <t>Prakash</t>
        </is>
      </c>
      <c r="R108" s="61" t="n"/>
      <c r="S108" s="61" t="n"/>
      <c r="T108" s="61" t="n"/>
      <c r="U108" s="61" t="n"/>
      <c r="V108" s="61" t="n"/>
      <c r="W108" s="61" t="n"/>
      <c r="X108" s="61" t="n"/>
      <c r="Y108" s="61" t="n"/>
      <c r="Z108" s="60" t="n">
        <v>0.7916666666666666</v>
      </c>
      <c r="AA108" s="61" t="inlineStr">
        <is>
          <t>Prakash</t>
        </is>
      </c>
      <c r="AB108" s="60" t="n">
        <v>0.8333333333333334</v>
      </c>
      <c r="AC108" s="61" t="inlineStr">
        <is>
          <t>Bathri</t>
        </is>
      </c>
      <c r="AD108" s="32" t="n">
        <v>0.4583333333333333</v>
      </c>
      <c r="AE108" s="19" t="inlineStr">
        <is>
          <t>Prakash</t>
        </is>
      </c>
      <c r="AF108" s="61" t="n"/>
      <c r="AG108" s="61" t="n"/>
      <c r="AH108" s="61" t="n"/>
      <c r="AI108" s="61" t="n"/>
      <c r="AJ108" s="61" t="n"/>
      <c r="AK108" s="61" t="n"/>
      <c r="AL108" s="61" t="n"/>
      <c r="AM108" s="61" t="n"/>
      <c r="AN108" s="60" t="n">
        <v>0.7916666666666666</v>
      </c>
      <c r="AO108" s="61" t="inlineStr">
        <is>
          <t>Prakash</t>
        </is>
      </c>
      <c r="AP108" s="60" t="n">
        <v>0.8333333333333334</v>
      </c>
      <c r="AQ108" s="61" t="inlineStr">
        <is>
          <t>Bathri</t>
        </is>
      </c>
      <c r="AR108" s="32" t="n">
        <v>0.4583333333333333</v>
      </c>
      <c r="AS108" s="19" t="inlineStr">
        <is>
          <t>Prakash</t>
        </is>
      </c>
      <c r="AT108" s="61" t="n"/>
      <c r="AU108" s="61" t="n"/>
      <c r="AV108" s="61" t="n"/>
      <c r="AW108" s="61" t="n"/>
      <c r="AX108" s="61" t="n"/>
      <c r="AY108" s="61" t="n"/>
      <c r="AZ108" s="61" t="n"/>
      <c r="BA108" s="61" t="n"/>
      <c r="BB108" s="61" t="n"/>
      <c r="BC108" s="61" t="n"/>
      <c r="BD108" s="60" t="n">
        <v>0.8333333333333334</v>
      </c>
      <c r="BE108" s="61" t="inlineStr">
        <is>
          <t>Bathri</t>
        </is>
      </c>
      <c r="BF108" s="32" t="n">
        <v>0.4583333333333333</v>
      </c>
      <c r="BG108" s="19" t="inlineStr">
        <is>
          <t>Prakash</t>
        </is>
      </c>
      <c r="BH108" s="61" t="n"/>
      <c r="BI108" s="61" t="n"/>
      <c r="BJ108" s="61" t="n"/>
      <c r="BK108" s="61" t="n"/>
      <c r="BL108" s="61" t="n"/>
      <c r="BM108" s="61" t="n"/>
      <c r="BN108" s="61" t="n"/>
      <c r="BO108" s="61" t="n"/>
      <c r="BP108" s="61" t="n"/>
      <c r="BQ108" s="61" t="n"/>
      <c r="BR108" s="60" t="n">
        <v>0.8333333333333334</v>
      </c>
      <c r="BS108" s="61" t="inlineStr">
        <is>
          <t>Bathri</t>
        </is>
      </c>
      <c r="BT108" s="16" t="n"/>
      <c r="BU108" s="61">
        <f>MIN(G108,12)</f>
        <v/>
      </c>
      <c r="BV108" s="61">
        <f>COUNT(J108:W108)</f>
        <v/>
      </c>
      <c r="BW108" s="61">
        <f>COUNT(X108:AK108)</f>
        <v/>
      </c>
      <c r="BX108" s="61">
        <f>COUNT(AL108:AY108)</f>
        <v/>
      </c>
      <c r="BY108" s="61">
        <f>COUNT(AZ108:BS108)</f>
        <v/>
      </c>
      <c r="BZ108" s="61">
        <f>IF(AND(H108=$BU108,BV108&gt;=INT($BU108/4),BV108&lt;=INT($BU108/4)+IF(MOD($BU108,4)&gt;0,1,0),BW108&gt;=INT($BU108/4),BW108&lt;=INT($BU108/4)+IF(MOD($BU108,4)&gt;0,1,0),BX108&gt;=INT($BU108/4),BX108&lt;=INT($BU108/4)+IF(MOD($BU108,4)&gt;0,1,0),BY108&gt;=INT($BU108/4),BY108&lt;=INT($BU108/4)+IF(MOD($BU108,4)&gt;0,1,0)),"OK","CHECK")</f>
        <v/>
      </c>
    </row>
    <row r="109" ht="15" customHeight="1">
      <c r="A109" s="16" t="inlineStr">
        <is>
          <t>Vikash</t>
        </is>
      </c>
      <c r="B109" s="16" t="inlineStr">
        <is>
          <t>MKS00168</t>
        </is>
      </c>
      <c r="C109" s="16" t="n">
        <v>2.8</v>
      </c>
      <c r="D109" s="16" t="inlineStr">
        <is>
          <t>Beginner</t>
        </is>
      </c>
      <c r="E109" s="16" t="inlineStr">
        <is>
          <t>G beginner1C</t>
        </is>
      </c>
      <c r="F109" s="16" t="n"/>
      <c r="G109" s="61" t="n">
        <v>12</v>
      </c>
      <c r="H109" s="61">
        <f>COUNT(J109:BS109)</f>
        <v/>
      </c>
      <c r="I109" s="63">
        <f>G109-H109</f>
        <v/>
      </c>
      <c r="J109" s="61" t="n"/>
      <c r="K109" s="61" t="n"/>
      <c r="L109" s="60" t="n">
        <v>0.7916666666666666</v>
      </c>
      <c r="M109" s="61" t="inlineStr">
        <is>
          <t>Prakash</t>
        </is>
      </c>
      <c r="N109" s="60" t="n">
        <v>0.8333333333333334</v>
      </c>
      <c r="O109" s="61" t="inlineStr">
        <is>
          <t>Bathri</t>
        </is>
      </c>
      <c r="P109" s="32" t="n">
        <v>0.4583333333333333</v>
      </c>
      <c r="Q109" s="19" t="inlineStr">
        <is>
          <t>Prakash</t>
        </is>
      </c>
      <c r="R109" s="61" t="n"/>
      <c r="S109" s="61" t="n"/>
      <c r="T109" s="61" t="n"/>
      <c r="U109" s="61" t="n"/>
      <c r="V109" s="61" t="n"/>
      <c r="W109" s="61" t="n"/>
      <c r="X109" s="61" t="n"/>
      <c r="Y109" s="61" t="n"/>
      <c r="Z109" s="60" t="n">
        <v>0.7916666666666666</v>
      </c>
      <c r="AA109" s="61" t="inlineStr">
        <is>
          <t>Prakash</t>
        </is>
      </c>
      <c r="AB109" s="60" t="n">
        <v>0.8333333333333334</v>
      </c>
      <c r="AC109" s="61" t="inlineStr">
        <is>
          <t>Bathri</t>
        </is>
      </c>
      <c r="AD109" s="32" t="n">
        <v>0.4583333333333333</v>
      </c>
      <c r="AE109" s="19" t="inlineStr">
        <is>
          <t>Prakash</t>
        </is>
      </c>
      <c r="AF109" s="61" t="n"/>
      <c r="AG109" s="61" t="n"/>
      <c r="AH109" s="61" t="n"/>
      <c r="AI109" s="61" t="n"/>
      <c r="AJ109" s="61" t="n"/>
      <c r="AK109" s="61" t="n"/>
      <c r="AL109" s="61" t="n"/>
      <c r="AM109" s="61" t="n"/>
      <c r="AN109" s="60" t="n">
        <v>0.7916666666666666</v>
      </c>
      <c r="AO109" s="61" t="inlineStr">
        <is>
          <t>Prakash</t>
        </is>
      </c>
      <c r="AP109" s="60" t="n">
        <v>0.8333333333333334</v>
      </c>
      <c r="AQ109" s="61" t="inlineStr">
        <is>
          <t>Bathri</t>
        </is>
      </c>
      <c r="AR109" s="32" t="n">
        <v>0.4583333333333333</v>
      </c>
      <c r="AS109" s="19" t="inlineStr">
        <is>
          <t>Prakash</t>
        </is>
      </c>
      <c r="AT109" s="61" t="n"/>
      <c r="AU109" s="61" t="n"/>
      <c r="AV109" s="61" t="n"/>
      <c r="AW109" s="61" t="n"/>
      <c r="AX109" s="61" t="n"/>
      <c r="AY109" s="61" t="n"/>
      <c r="AZ109" s="61" t="n"/>
      <c r="BA109" s="61" t="n"/>
      <c r="BB109" s="61" t="n"/>
      <c r="BC109" s="61" t="n"/>
      <c r="BD109" s="60" t="n">
        <v>0.8333333333333334</v>
      </c>
      <c r="BE109" s="61" t="inlineStr">
        <is>
          <t>Bathri</t>
        </is>
      </c>
      <c r="BF109" s="32" t="n">
        <v>0.4583333333333333</v>
      </c>
      <c r="BG109" s="19" t="inlineStr">
        <is>
          <t>Prakash</t>
        </is>
      </c>
      <c r="BH109" s="61" t="n"/>
      <c r="BI109" s="61" t="n"/>
      <c r="BJ109" s="61" t="n"/>
      <c r="BK109" s="61" t="n"/>
      <c r="BL109" s="61" t="n"/>
      <c r="BM109" s="61" t="n"/>
      <c r="BN109" s="61" t="n"/>
      <c r="BO109" s="61" t="n"/>
      <c r="BP109" s="61" t="n"/>
      <c r="BQ109" s="61" t="n"/>
      <c r="BR109" s="60" t="n">
        <v>0.8333333333333334</v>
      </c>
      <c r="BS109" s="61" t="inlineStr">
        <is>
          <t>Bathri</t>
        </is>
      </c>
      <c r="BT109" s="16" t="n"/>
      <c r="BU109" s="61">
        <f>MIN(G109,12)</f>
        <v/>
      </c>
      <c r="BV109" s="61">
        <f>COUNT(J109:W109)</f>
        <v/>
      </c>
      <c r="BW109" s="61">
        <f>COUNT(X109:AK109)</f>
        <v/>
      </c>
      <c r="BX109" s="61">
        <f>COUNT(AL109:AY109)</f>
        <v/>
      </c>
      <c r="BY109" s="61">
        <f>COUNT(AZ109:BS109)</f>
        <v/>
      </c>
      <c r="BZ109" s="61">
        <f>IF(AND(H109=$BU109,BV109&gt;=INT($BU109/4),BV109&lt;=INT($BU109/4)+IF(MOD($BU109,4)&gt;0,1,0),BW109&gt;=INT($BU109/4),BW109&lt;=INT($BU109/4)+IF(MOD($BU109,4)&gt;0,1,0),BX109&gt;=INT($BU109/4),BX109&lt;=INT($BU109/4)+IF(MOD($BU109,4)&gt;0,1,0),BY109&gt;=INT($BU109/4),BY109&lt;=INT($BU109/4)+IF(MOD($BU109,4)&gt;0,1,0)),"OK","CHECK")</f>
        <v/>
      </c>
    </row>
    <row r="110" ht="15" customHeight="1">
      <c r="A110" s="16" t="inlineStr">
        <is>
          <t>S.P.NEHASRI</t>
        </is>
      </c>
      <c r="B110" s="16" t="inlineStr">
        <is>
          <t>MKS00157</t>
        </is>
      </c>
      <c r="C110" s="16" t="n">
        <v>1.8</v>
      </c>
      <c r="D110" s="16" t="inlineStr">
        <is>
          <t>Basic</t>
        </is>
      </c>
      <c r="E110" s="16" t="inlineStr">
        <is>
          <t>G Basic2A</t>
        </is>
      </c>
      <c r="F110" s="16" t="n"/>
      <c r="G110" s="61" t="n">
        <v>12</v>
      </c>
      <c r="H110" s="61">
        <f>COUNT(J110:BS110)</f>
        <v/>
      </c>
      <c r="I110" s="63">
        <f>G110-H110</f>
        <v/>
      </c>
      <c r="J110" s="61" t="n"/>
      <c r="K110" s="61" t="n"/>
      <c r="L110" s="60" t="n">
        <v>0.8333333333333334</v>
      </c>
      <c r="M110" s="61" t="inlineStr">
        <is>
          <t>Bathri</t>
        </is>
      </c>
      <c r="N110" s="60" t="n">
        <v>0.8333333333333334</v>
      </c>
      <c r="O110" s="61" t="inlineStr">
        <is>
          <t>Bathri</t>
        </is>
      </c>
      <c r="P110" s="32" t="n">
        <v>0.4583333333333333</v>
      </c>
      <c r="Q110" s="19" t="inlineStr">
        <is>
          <t>Abinaya</t>
        </is>
      </c>
      <c r="R110" s="61" t="n"/>
      <c r="S110" s="61" t="n"/>
      <c r="T110" s="61" t="n"/>
      <c r="U110" s="61" t="n"/>
      <c r="V110" s="61" t="n"/>
      <c r="W110" s="61" t="n"/>
      <c r="X110" s="61" t="n"/>
      <c r="Y110" s="61" t="n"/>
      <c r="Z110" s="60" t="n">
        <v>0.8333333333333334</v>
      </c>
      <c r="AA110" s="61" t="inlineStr">
        <is>
          <t>Bathri</t>
        </is>
      </c>
      <c r="AB110" s="60" t="n">
        <v>0.8333333333333334</v>
      </c>
      <c r="AC110" s="61" t="inlineStr">
        <is>
          <t>Bathri</t>
        </is>
      </c>
      <c r="AD110" s="32" t="n">
        <v>0.4583333333333333</v>
      </c>
      <c r="AE110" s="19" t="inlineStr">
        <is>
          <t>Abinaya</t>
        </is>
      </c>
      <c r="AF110" s="61" t="n"/>
      <c r="AG110" s="61" t="n"/>
      <c r="AH110" s="61" t="n"/>
      <c r="AI110" s="61" t="n"/>
      <c r="AJ110" s="61" t="n"/>
      <c r="AK110" s="61" t="n"/>
      <c r="AL110" s="61" t="n"/>
      <c r="AM110" s="61" t="n"/>
      <c r="AN110" s="60" t="n">
        <v>0.8333333333333334</v>
      </c>
      <c r="AO110" s="61" t="inlineStr">
        <is>
          <t>Bathri</t>
        </is>
      </c>
      <c r="AP110" s="60" t="n">
        <v>0.8333333333333334</v>
      </c>
      <c r="AQ110" s="61" t="inlineStr">
        <is>
          <t>Bathri</t>
        </is>
      </c>
      <c r="AR110" s="32" t="n">
        <v>0.4583333333333333</v>
      </c>
      <c r="AS110" s="19" t="inlineStr">
        <is>
          <t>Abinaya</t>
        </is>
      </c>
      <c r="AT110" s="61" t="n"/>
      <c r="AU110" s="61" t="n"/>
      <c r="AV110" s="61" t="n"/>
      <c r="AW110" s="61" t="n"/>
      <c r="AX110" s="61" t="n"/>
      <c r="AY110" s="61" t="n"/>
      <c r="AZ110" s="61" t="n"/>
      <c r="BA110" s="61" t="n"/>
      <c r="BB110" s="60" t="n">
        <v>0.8333333333333334</v>
      </c>
      <c r="BC110" s="61" t="inlineStr">
        <is>
          <t>Bathri</t>
        </is>
      </c>
      <c r="BD110" s="61" t="n"/>
      <c r="BE110" s="61" t="n"/>
      <c r="BF110" s="32" t="n">
        <v>0.4583333333333333</v>
      </c>
      <c r="BG110" s="19" t="inlineStr">
        <is>
          <t>Abinaya</t>
        </is>
      </c>
      <c r="BH110" s="61" t="n"/>
      <c r="BI110" s="61" t="n"/>
      <c r="BJ110" s="61" t="n"/>
      <c r="BK110" s="61" t="n"/>
      <c r="BL110" s="61" t="n"/>
      <c r="BM110" s="61" t="n"/>
      <c r="BN110" s="61" t="n"/>
      <c r="BO110" s="61" t="n"/>
      <c r="BP110" s="60" t="n">
        <v>0.8333333333333334</v>
      </c>
      <c r="BQ110" s="61" t="inlineStr">
        <is>
          <t>Bathri</t>
        </is>
      </c>
      <c r="BR110" s="61" t="n"/>
      <c r="BS110" s="61" t="n"/>
      <c r="BT110" s="16" t="n"/>
      <c r="BU110" s="61">
        <f>MIN(G110,12)</f>
        <v/>
      </c>
      <c r="BV110" s="61">
        <f>COUNT(J110:W110)</f>
        <v/>
      </c>
      <c r="BW110" s="61">
        <f>COUNT(X110:AK110)</f>
        <v/>
      </c>
      <c r="BX110" s="61">
        <f>COUNT(AL110:AY110)</f>
        <v/>
      </c>
      <c r="BY110" s="61">
        <f>COUNT(AZ110:BS110)</f>
        <v/>
      </c>
      <c r="BZ110" s="61">
        <f>IF(AND(H110=$BU110,BV110&gt;=INT($BU110/4),BV110&lt;=INT($BU110/4)+IF(MOD($BU110,4)&gt;0,1,0),BW110&gt;=INT($BU110/4),BW110&lt;=INT($BU110/4)+IF(MOD($BU110,4)&gt;0,1,0),BX110&gt;=INT($BU110/4),BX110&lt;=INT($BU110/4)+IF(MOD($BU110,4)&gt;0,1,0),BY110&gt;=INT($BU110/4),BY110&lt;=INT($BU110/4)+IF(MOD($BU110,4)&gt;0,1,0)),"OK","CHECK")</f>
        <v/>
      </c>
    </row>
    <row r="111" ht="15" customHeight="1">
      <c r="A111" s="16" t="inlineStr">
        <is>
          <t>Aadhav Mithun</t>
        </is>
      </c>
      <c r="B111" s="16" t="inlineStr">
        <is>
          <t>MKS00170</t>
        </is>
      </c>
      <c r="C111" s="16" t="n">
        <v>1.1</v>
      </c>
      <c r="D111" s="16" t="inlineStr">
        <is>
          <t>Basic</t>
        </is>
      </c>
      <c r="E111" s="16" t="inlineStr">
        <is>
          <t>I Basic2</t>
        </is>
      </c>
      <c r="F111" s="16" t="inlineStr">
        <is>
          <t>Coach is Abinaya &amp; Timing is 10am</t>
        </is>
      </c>
      <c r="G111" s="61" t="n">
        <v>5</v>
      </c>
      <c r="H111" s="61">
        <f>COUNT(J111:BS111)</f>
        <v/>
      </c>
      <c r="I111" s="63">
        <f>G111-H111</f>
        <v/>
      </c>
      <c r="J111" s="61" t="n"/>
      <c r="K111" s="61" t="n"/>
      <c r="L111" s="61" t="n"/>
      <c r="M111" s="61" t="n"/>
      <c r="N111" s="22" t="n">
        <v>0.4166666666666667</v>
      </c>
      <c r="O111" s="23" t="inlineStr">
        <is>
          <t>Abinaya</t>
        </is>
      </c>
      <c r="P111" s="19" t="n"/>
      <c r="Q111" s="19" t="n"/>
      <c r="R111" s="61" t="n"/>
      <c r="S111" s="61" t="n"/>
      <c r="T111" s="61" t="n"/>
      <c r="U111" s="61" t="n"/>
      <c r="V111" s="61" t="n"/>
      <c r="W111" s="61" t="n"/>
      <c r="X111" s="60" t="n"/>
      <c r="Y111" s="61" t="n"/>
      <c r="Z111" s="61" t="n"/>
      <c r="AA111" s="61" t="n"/>
      <c r="AB111" s="22" t="n">
        <v>0.4166666666666667</v>
      </c>
      <c r="AC111" s="23" t="inlineStr">
        <is>
          <t>Abinaya</t>
        </is>
      </c>
      <c r="AD111" s="19" t="n"/>
      <c r="AE111" s="19" t="n"/>
      <c r="AF111" s="61" t="n"/>
      <c r="AG111" s="61" t="n"/>
      <c r="AH111" s="61" t="n"/>
      <c r="AI111" s="61" t="n"/>
      <c r="AJ111" s="61" t="n"/>
      <c r="AK111" s="61" t="n"/>
      <c r="AL111" s="61" t="n"/>
      <c r="AM111" s="61" t="n"/>
      <c r="AN111" s="61" t="n"/>
      <c r="AO111" s="61" t="n"/>
      <c r="AP111" s="60" t="n">
        <v>0.4166666666666667</v>
      </c>
      <c r="AQ111" s="61" t="inlineStr">
        <is>
          <t>Abinaya</t>
        </is>
      </c>
      <c r="AR111" s="19" t="n"/>
      <c r="AS111" s="19" t="n"/>
      <c r="AT111" s="61" t="n"/>
      <c r="AU111" s="61" t="n"/>
      <c r="AV111" s="61" t="n"/>
      <c r="AW111" s="61" t="n"/>
      <c r="AX111" s="61" t="n"/>
      <c r="AY111" s="61" t="n"/>
      <c r="AZ111" s="61" t="n"/>
      <c r="BA111" s="61" t="n"/>
      <c r="BB111" s="61" t="n"/>
      <c r="BC111" s="61" t="n"/>
      <c r="BD111" s="60" t="n">
        <v>0.4166666666666667</v>
      </c>
      <c r="BE111" s="61" t="inlineStr">
        <is>
          <t>Abinaya</t>
        </is>
      </c>
      <c r="BF111" s="19" t="n"/>
      <c r="BG111" s="19" t="n"/>
      <c r="BH111" s="61" t="n"/>
      <c r="BI111" s="61" t="n"/>
      <c r="BJ111" s="61" t="n"/>
      <c r="BK111" s="61" t="n"/>
      <c r="BL111" s="61" t="n"/>
      <c r="BM111" s="61" t="n"/>
      <c r="BN111" s="61" t="n"/>
      <c r="BO111" s="61" t="n"/>
      <c r="BP111" s="61" t="n"/>
      <c r="BQ111" s="61" t="n"/>
      <c r="BR111" s="60" t="n">
        <v>0.4166666666666667</v>
      </c>
      <c r="BS111" s="61" t="inlineStr">
        <is>
          <t>Abinaya</t>
        </is>
      </c>
      <c r="BT111" s="16" t="n"/>
      <c r="BU111" s="61">
        <f>MIN(G111,12)</f>
        <v/>
      </c>
      <c r="BV111" s="61">
        <f>COUNT(J111:W111)</f>
        <v/>
      </c>
      <c r="BW111" s="61">
        <f>COUNT(X111:AK111)</f>
        <v/>
      </c>
      <c r="BX111" s="61">
        <f>COUNT(AL111:AY111)</f>
        <v/>
      </c>
      <c r="BY111" s="61">
        <f>COUNT(AZ111:BS111)</f>
        <v/>
      </c>
      <c r="BZ111" s="61">
        <f>IF(AND(H111=$BU111,BV111&gt;=INT($BU111/4),BV111&lt;=INT($BU111/4)+IF(MOD($BU111,4)&gt;0,1,0),BW111&gt;=INT($BU111/4),BW111&lt;=INT($BU111/4)+IF(MOD($BU111,4)&gt;0,1,0),BX111&gt;=INT($BU111/4),BX111&lt;=INT($BU111/4)+IF(MOD($BU111,4)&gt;0,1,0),BY111&gt;=INT($BU111/4),BY111&lt;=INT($BU111/4)+IF(MOD($BU111,4)&gt;0,1,0)),"OK","CHECK")</f>
        <v/>
      </c>
    </row>
    <row r="112" ht="15" customHeight="1">
      <c r="A112" s="16" t="inlineStr">
        <is>
          <t>Ineya Individual</t>
        </is>
      </c>
      <c r="B112" s="16" t="inlineStr">
        <is>
          <t>MKS00050</t>
        </is>
      </c>
      <c r="C112" s="16" t="n">
        <v>7.3</v>
      </c>
      <c r="D112" s="16" t="inlineStr">
        <is>
          <t>Intermediate</t>
        </is>
      </c>
      <c r="E112" s="16" t="inlineStr">
        <is>
          <t>I Intermediate</t>
        </is>
      </c>
      <c r="F112" s="16" t="n"/>
      <c r="G112" s="61" t="n">
        <v>4</v>
      </c>
      <c r="H112" s="61">
        <f>COUNT(J112:BS112)</f>
        <v/>
      </c>
      <c r="I112" s="63">
        <f>G112-H112</f>
        <v/>
      </c>
      <c r="J112" s="61" t="n"/>
      <c r="K112" s="61" t="n"/>
      <c r="L112" s="61" t="n"/>
      <c r="M112" s="61" t="n"/>
      <c r="N112" s="60" t="n">
        <v>0.7916666666666666</v>
      </c>
      <c r="O112" s="61" t="inlineStr">
        <is>
          <t>Prakash</t>
        </is>
      </c>
      <c r="P112" s="19" t="n"/>
      <c r="Q112" s="19" t="n"/>
      <c r="R112" s="61" t="n"/>
      <c r="S112" s="61" t="n"/>
      <c r="T112" s="61" t="n"/>
      <c r="U112" s="61" t="n"/>
      <c r="V112" s="61" t="n"/>
      <c r="W112" s="61" t="n"/>
      <c r="X112" s="61" t="n"/>
      <c r="Y112" s="61" t="n"/>
      <c r="Z112" s="61" t="n"/>
      <c r="AA112" s="61" t="n"/>
      <c r="AB112" s="60" t="n">
        <v>0.7916666666666666</v>
      </c>
      <c r="AC112" s="61" t="inlineStr">
        <is>
          <t>Prakash</t>
        </is>
      </c>
      <c r="AD112" s="19" t="n"/>
      <c r="AE112" s="19" t="n"/>
      <c r="AF112" s="61" t="n"/>
      <c r="AG112" s="61" t="n"/>
      <c r="AH112" s="61" t="n"/>
      <c r="AI112" s="61" t="n"/>
      <c r="AJ112" s="61" t="n"/>
      <c r="AK112" s="61" t="n"/>
      <c r="AL112" s="61" t="n"/>
      <c r="AM112" s="61" t="n"/>
      <c r="AN112" s="61" t="n"/>
      <c r="AO112" s="61" t="n"/>
      <c r="AP112" s="60" t="n">
        <v>0.7916666666666666</v>
      </c>
      <c r="AQ112" s="61" t="inlineStr">
        <is>
          <t>Prakash</t>
        </is>
      </c>
      <c r="AR112" s="19" t="n"/>
      <c r="AS112" s="19" t="n"/>
      <c r="AT112" s="61" t="n"/>
      <c r="AU112" s="61" t="n"/>
      <c r="AV112" s="61" t="n"/>
      <c r="AW112" s="61" t="n"/>
      <c r="AX112" s="61" t="n"/>
      <c r="AY112" s="61" t="n"/>
      <c r="AZ112" s="61" t="n"/>
      <c r="BA112" s="61" t="n"/>
      <c r="BB112" s="61" t="n"/>
      <c r="BC112" s="61" t="n"/>
      <c r="BD112" s="60" t="n">
        <v>0.7916666666666666</v>
      </c>
      <c r="BE112" s="61" t="inlineStr">
        <is>
          <t>Prakash</t>
        </is>
      </c>
      <c r="BF112" s="19" t="n"/>
      <c r="BG112" s="19" t="n"/>
      <c r="BH112" s="61" t="n"/>
      <c r="BI112" s="61" t="n"/>
      <c r="BJ112" s="61" t="n"/>
      <c r="BK112" s="61" t="n"/>
      <c r="BL112" s="61" t="n"/>
      <c r="BM112" s="61" t="n"/>
      <c r="BN112" s="61" t="n"/>
      <c r="BO112" s="61" t="n"/>
      <c r="BP112" s="61" t="n"/>
      <c r="BQ112" s="61" t="n"/>
      <c r="BR112" s="61" t="n"/>
      <c r="BS112" s="61" t="n"/>
      <c r="BT112" s="16" t="n"/>
      <c r="BU112" s="61">
        <f>MIN(G112,12)</f>
        <v/>
      </c>
      <c r="BV112" s="61">
        <f>COUNT(J112:W112)</f>
        <v/>
      </c>
      <c r="BW112" s="61">
        <f>COUNT(X112:AK112)</f>
        <v/>
      </c>
      <c r="BX112" s="61">
        <f>COUNT(AL112:AY112)</f>
        <v/>
      </c>
      <c r="BY112" s="61">
        <f>COUNT(AZ112:BS112)</f>
        <v/>
      </c>
      <c r="BZ112" s="61">
        <f>IF(AND(H112=$BU112,BV112&gt;=INT($BU112/4),BV112&lt;=INT($BU112/4)+IF(MOD($BU112,4)&gt;0,1,0),BW112&gt;=INT($BU112/4),BW112&lt;=INT($BU112/4)+IF(MOD($BU112,4)&gt;0,1,0),BX112&gt;=INT($BU112/4),BX112&lt;=INT($BU112/4)+IF(MOD($BU112,4)&gt;0,1,0),BY112&gt;=INT($BU112/4),BY112&lt;=INT($BU112/4)+IF(MOD($BU112,4)&gt;0,1,0)),"OK","CHECK")</f>
        <v/>
      </c>
    </row>
    <row r="113" ht="15" customHeight="1">
      <c r="A113" s="16" t="inlineStr">
        <is>
          <t>S. YASWANNTH</t>
        </is>
      </c>
      <c r="B113" s="16" t="inlineStr">
        <is>
          <t>MKS00039</t>
        </is>
      </c>
      <c r="C113" s="16" t="n">
        <v>3.8</v>
      </c>
      <c r="D113" s="28" t="inlineStr">
        <is>
          <t>Beginner</t>
        </is>
      </c>
      <c r="E113" s="28" t="inlineStr">
        <is>
          <t>G Beginner2</t>
        </is>
      </c>
      <c r="F113" s="16" t="n"/>
      <c r="G113" s="61" t="n">
        <v>8</v>
      </c>
      <c r="H113" s="61">
        <f>COUNT(J113:BS113)</f>
        <v/>
      </c>
      <c r="I113" s="63">
        <f>G113-H113</f>
        <v/>
      </c>
      <c r="J113" s="61" t="n"/>
      <c r="K113" s="61" t="n"/>
      <c r="L113" s="60" t="n">
        <v>0.8333333333333334</v>
      </c>
      <c r="M113" s="61" t="inlineStr">
        <is>
          <t>Bathri</t>
        </is>
      </c>
      <c r="N113" s="60" t="n">
        <v>0.8333333333333334</v>
      </c>
      <c r="O113" s="61" t="inlineStr">
        <is>
          <t>Guru</t>
        </is>
      </c>
      <c r="P113" s="19" t="n"/>
      <c r="Q113" s="19" t="n"/>
      <c r="R113" s="61" t="n"/>
      <c r="S113" s="61" t="n"/>
      <c r="T113" s="61" t="n"/>
      <c r="U113" s="61" t="n"/>
      <c r="V113" s="61" t="n"/>
      <c r="W113" s="61" t="n"/>
      <c r="X113" s="61" t="n"/>
      <c r="Y113" s="61" t="n"/>
      <c r="Z113" s="60" t="n">
        <v>0.8333333333333334</v>
      </c>
      <c r="AA113" s="61" t="inlineStr">
        <is>
          <t>Bathri</t>
        </is>
      </c>
      <c r="AB113" s="60" t="n">
        <v>0.8333333333333334</v>
      </c>
      <c r="AC113" s="61" t="inlineStr">
        <is>
          <t>Guru</t>
        </is>
      </c>
      <c r="AD113" s="19" t="n"/>
      <c r="AE113" s="19" t="n"/>
      <c r="AF113" s="61" t="n"/>
      <c r="AG113" s="61" t="n"/>
      <c r="AH113" s="61" t="n"/>
      <c r="AI113" s="61" t="n"/>
      <c r="AJ113" s="61" t="n"/>
      <c r="AK113" s="61" t="n"/>
      <c r="AL113" s="61" t="n"/>
      <c r="AM113" s="61" t="n"/>
      <c r="AN113" s="60" t="n">
        <v>0.8333333333333334</v>
      </c>
      <c r="AO113" s="61" t="inlineStr">
        <is>
          <t>Bathri</t>
        </is>
      </c>
      <c r="AP113" s="60" t="n">
        <v>0.8333333333333334</v>
      </c>
      <c r="AQ113" s="61" t="inlineStr">
        <is>
          <t>Guru</t>
        </is>
      </c>
      <c r="AR113" s="19" t="n"/>
      <c r="AS113" s="19" t="n"/>
      <c r="AT113" s="61" t="n"/>
      <c r="AU113" s="61" t="n"/>
      <c r="AV113" s="61" t="n"/>
      <c r="AW113" s="61" t="n"/>
      <c r="AX113" s="61" t="n"/>
      <c r="AY113" s="61" t="n"/>
      <c r="AZ113" s="61" t="n"/>
      <c r="BA113" s="61" t="n"/>
      <c r="BB113" s="60" t="n">
        <v>0.8333333333333334</v>
      </c>
      <c r="BC113" s="61" t="inlineStr">
        <is>
          <t>Bathri</t>
        </is>
      </c>
      <c r="BD113" s="61" t="n"/>
      <c r="BE113" s="61" t="n"/>
      <c r="BF113" s="19" t="n"/>
      <c r="BG113" s="19" t="n"/>
      <c r="BH113" s="61" t="n"/>
      <c r="BI113" s="61" t="n"/>
      <c r="BJ113" s="61" t="n"/>
      <c r="BK113" s="61" t="n"/>
      <c r="BL113" s="61" t="n"/>
      <c r="BM113" s="61" t="n"/>
      <c r="BN113" s="61" t="n"/>
      <c r="BO113" s="61" t="n"/>
      <c r="BP113" s="61" t="n"/>
      <c r="BQ113" s="61" t="n"/>
      <c r="BR113" s="60" t="n">
        <v>0.8333333333333334</v>
      </c>
      <c r="BS113" s="61" t="inlineStr">
        <is>
          <t>Guru</t>
        </is>
      </c>
      <c r="BT113" s="16" t="inlineStr">
        <is>
          <t>Sunday not available</t>
        </is>
      </c>
      <c r="BU113" s="61">
        <f>MIN(G113,12)</f>
        <v/>
      </c>
      <c r="BV113" s="61">
        <f>COUNT(J113:W113)</f>
        <v/>
      </c>
      <c r="BW113" s="61">
        <f>COUNT(X113:AK113)</f>
        <v/>
      </c>
      <c r="BX113" s="61">
        <f>COUNT(AL113:AY113)</f>
        <v/>
      </c>
      <c r="BY113" s="61">
        <f>COUNT(AZ113:BS113)</f>
        <v/>
      </c>
      <c r="BZ113" s="61">
        <f>IF(AND(H113=$BU113,BV113&gt;=INT($BU113/4),BV113&lt;=INT($BU113/4)+IF(MOD($BU113,4)&gt;0,1,0),BW113&gt;=INT($BU113/4),BW113&lt;=INT($BU113/4)+IF(MOD($BU113,4)&gt;0,1,0),BX113&gt;=INT($BU113/4),BX113&lt;=INT($BU113/4)+IF(MOD($BU113,4)&gt;0,1,0),BY113&gt;=INT($BU113/4),BY113&lt;=INT($BU113/4)+IF(MOD($BU113,4)&gt;0,1,0)),"OK","CHECK")</f>
        <v/>
      </c>
    </row>
    <row r="114" ht="15" customHeight="1">
      <c r="A114" s="67" t="n"/>
      <c r="B114" s="67" t="n"/>
      <c r="C114" s="67" t="n"/>
      <c r="D114" s="67" t="n"/>
      <c r="E114" s="67" t="n"/>
      <c r="F114" s="67" t="n"/>
      <c r="G114" s="67" t="n"/>
      <c r="H114" s="67" t="n"/>
      <c r="I114" s="63">
        <f>G114-H114</f>
        <v/>
      </c>
      <c r="J114" s="67" t="n"/>
      <c r="K114" s="67" t="n"/>
      <c r="L114" s="67" t="n"/>
      <c r="M114" s="67" t="n"/>
      <c r="N114" s="67" t="n"/>
      <c r="O114" s="67" t="n"/>
      <c r="P114" s="67" t="n"/>
      <c r="Q114" s="67" t="n"/>
      <c r="R114" s="67" t="n"/>
      <c r="S114" s="67" t="n"/>
      <c r="T114" s="67" t="n"/>
      <c r="U114" s="67" t="n"/>
      <c r="V114" s="67" t="n"/>
      <c r="W114" s="67" t="n"/>
      <c r="X114" s="67" t="n"/>
      <c r="Y114" s="67" t="n"/>
      <c r="Z114" s="67" t="n"/>
      <c r="AA114" s="67" t="n"/>
      <c r="AB114" s="67" t="n"/>
      <c r="AC114" s="67" t="n"/>
      <c r="AD114" s="67" t="n"/>
      <c r="AE114" s="67" t="n"/>
      <c r="AF114" s="67" t="n"/>
      <c r="AG114" s="67" t="n"/>
      <c r="AH114" s="67" t="n"/>
      <c r="AI114" s="67" t="n"/>
      <c r="AJ114" s="67" t="n"/>
      <c r="AK114" s="67" t="n"/>
      <c r="AL114" s="67" t="n"/>
      <c r="AM114" s="67" t="n"/>
      <c r="AN114" s="67" t="n"/>
      <c r="AO114" s="67" t="n"/>
      <c r="AP114" s="67" t="n"/>
      <c r="AQ114" s="67" t="n"/>
      <c r="AR114" s="67" t="n"/>
      <c r="AS114" s="67" t="n"/>
      <c r="AT114" s="67" t="n"/>
      <c r="AU114" s="67" t="n"/>
      <c r="AV114" s="67" t="n"/>
      <c r="AW114" s="67" t="n"/>
      <c r="AX114" s="67" t="n"/>
      <c r="AY114" s="67" t="n"/>
      <c r="AZ114" s="67" t="n"/>
      <c r="BA114" s="67" t="n"/>
      <c r="BB114" s="67" t="n"/>
      <c r="BC114" s="67" t="n"/>
      <c r="BD114" s="67" t="n"/>
      <c r="BE114" s="67" t="n"/>
      <c r="BF114" s="67" t="n"/>
      <c r="BG114" s="67" t="n"/>
      <c r="BH114" s="67" t="n"/>
      <c r="BI114" s="67" t="n"/>
      <c r="BJ114" s="67" t="n"/>
      <c r="BK114" s="67" t="n"/>
      <c r="BL114" s="67" t="n"/>
      <c r="BM114" s="67" t="n"/>
      <c r="BN114" s="67" t="n"/>
      <c r="BO114" s="67" t="n"/>
      <c r="BP114" s="67" t="n"/>
      <c r="BQ114" s="67" t="n"/>
      <c r="BR114" s="67" t="n"/>
      <c r="BS114" s="67" t="n"/>
      <c r="BT114" s="67" t="n"/>
      <c r="BU114" s="67" t="n"/>
      <c r="BV114" s="67" t="n"/>
      <c r="BW114" s="67" t="n"/>
      <c r="BX114" s="67" t="n"/>
      <c r="BY114" s="67" t="n"/>
      <c r="BZ114" s="67" t="n"/>
    </row>
    <row r="115" ht="15" customHeight="1">
      <c r="A115" s="67" t="n"/>
      <c r="B115" s="67" t="n"/>
      <c r="C115" s="67" t="n"/>
      <c r="D115" s="67" t="n"/>
      <c r="E115" s="67" t="n"/>
      <c r="F115" s="67" t="n"/>
      <c r="G115" s="67" t="n"/>
      <c r="H115" s="67" t="n"/>
      <c r="I115" s="63">
        <f>G115-H115</f>
        <v/>
      </c>
      <c r="J115" s="67" t="n"/>
      <c r="K115" s="67" t="n"/>
      <c r="L115" s="67" t="n"/>
      <c r="M115" s="67" t="n"/>
      <c r="N115" s="67" t="n"/>
      <c r="O115" s="67" t="n"/>
      <c r="P115" s="67" t="n"/>
      <c r="Q115" s="67" t="n"/>
      <c r="R115" s="67" t="n"/>
      <c r="S115" s="67" t="n"/>
      <c r="T115" s="67" t="n"/>
      <c r="U115" s="67" t="n"/>
      <c r="V115" s="67" t="n"/>
      <c r="W115" s="67" t="n"/>
      <c r="X115" s="67" t="n"/>
      <c r="Y115" s="67" t="n"/>
      <c r="Z115" s="67" t="n"/>
      <c r="AA115" s="67" t="n"/>
      <c r="AB115" s="67" t="n"/>
      <c r="AC115" s="67" t="n"/>
      <c r="AD115" s="67" t="n"/>
      <c r="AE115" s="67" t="n"/>
      <c r="AF115" s="67" t="n"/>
      <c r="AG115" s="67" t="n"/>
      <c r="AH115" s="67" t="n"/>
      <c r="AI115" s="67" t="n"/>
      <c r="AJ115" s="67" t="n"/>
      <c r="AK115" s="67" t="n"/>
      <c r="AL115" s="67" t="n"/>
      <c r="AM115" s="67" t="n"/>
      <c r="AN115" s="67" t="n"/>
      <c r="AO115" s="67" t="n"/>
      <c r="AP115" s="67" t="n"/>
      <c r="AQ115" s="67" t="n"/>
      <c r="AR115" s="67" t="n"/>
      <c r="AS115" s="67" t="n"/>
      <c r="AT115" s="67" t="n"/>
      <c r="AU115" s="67" t="n"/>
      <c r="AV115" s="67" t="n"/>
      <c r="AW115" s="67" t="n"/>
      <c r="AX115" s="67" t="n"/>
      <c r="AY115" s="67" t="n"/>
      <c r="AZ115" s="67" t="n"/>
      <c r="BA115" s="67" t="n"/>
      <c r="BB115" s="67" t="n"/>
      <c r="BC115" s="67" t="n"/>
      <c r="BD115" s="67" t="n"/>
      <c r="BE115" s="67" t="n"/>
      <c r="BF115" s="67" t="n"/>
      <c r="BG115" s="67" t="n"/>
      <c r="BH115" s="67" t="n"/>
      <c r="BI115" s="67" t="n"/>
      <c r="BJ115" s="67" t="n"/>
      <c r="BK115" s="67" t="n"/>
      <c r="BL115" s="67" t="n"/>
      <c r="BM115" s="67" t="n"/>
      <c r="BN115" s="67" t="n"/>
      <c r="BO115" s="67" t="n"/>
      <c r="BP115" s="67" t="n"/>
      <c r="BQ115" s="67" t="n"/>
      <c r="BR115" s="67" t="n"/>
      <c r="BS115" s="67" t="n"/>
      <c r="BT115" s="67" t="n"/>
      <c r="BU115" s="67" t="n"/>
      <c r="BV115" s="67" t="n"/>
      <c r="BW115" s="67" t="n"/>
      <c r="BX115" s="67" t="n"/>
      <c r="BY115" s="67" t="n"/>
      <c r="BZ115" s="67" t="n"/>
    </row>
    <row r="116" ht="15" customHeight="1">
      <c r="A116" s="66" t="n"/>
      <c r="B116" s="68" t="inlineStr">
        <is>
          <t>Student Level changed on 30.9.26</t>
        </is>
      </c>
      <c r="C116" s="67" t="n"/>
      <c r="D116" s="67" t="n"/>
      <c r="E116" s="67" t="n"/>
      <c r="F116" s="67" t="n"/>
      <c r="G116" s="67" t="n"/>
      <c r="H116" s="67" t="n"/>
      <c r="I116" s="63">
        <f>G116-H116</f>
        <v/>
      </c>
      <c r="J116" s="67" t="n"/>
      <c r="K116" s="67" t="n"/>
      <c r="L116" s="67" t="n"/>
      <c r="M116" s="67" t="n"/>
      <c r="N116" s="67" t="n"/>
      <c r="O116" s="67" t="n"/>
      <c r="P116" s="67" t="n"/>
      <c r="Q116" s="67" t="n"/>
      <c r="R116" s="67" t="n"/>
      <c r="S116" s="67" t="n"/>
      <c r="T116" s="67" t="n"/>
      <c r="U116" s="67" t="n"/>
      <c r="V116" s="67" t="n"/>
      <c r="W116" s="67" t="n"/>
      <c r="X116" s="67" t="n"/>
      <c r="Y116" s="67" t="n"/>
      <c r="Z116" s="67" t="n"/>
      <c r="AA116" s="67" t="n"/>
      <c r="AB116" s="67" t="n"/>
      <c r="AC116" s="67" t="n"/>
      <c r="AD116" s="67" t="n"/>
      <c r="AE116" s="67" t="n"/>
      <c r="AF116" s="67" t="n"/>
      <c r="AG116" s="67" t="n"/>
      <c r="AH116" s="67" t="n"/>
      <c r="AI116" s="67" t="n"/>
      <c r="AJ116" s="67" t="n"/>
      <c r="AK116" s="67" t="n"/>
      <c r="AL116" s="67" t="n"/>
      <c r="AM116" s="67" t="n"/>
      <c r="AN116" s="67" t="n"/>
      <c r="AO116" s="67" t="n"/>
      <c r="AP116" s="67" t="n"/>
      <c r="AQ116" s="67" t="n"/>
      <c r="AR116" s="67" t="n"/>
      <c r="AS116" s="67" t="n"/>
      <c r="AT116" s="67" t="n"/>
      <c r="AU116" s="67" t="n"/>
      <c r="AV116" s="67" t="n"/>
      <c r="AW116" s="67" t="n"/>
      <c r="AX116" s="67" t="n"/>
      <c r="AY116" s="67" t="n"/>
      <c r="AZ116" s="67" t="n"/>
      <c r="BA116" s="67" t="n"/>
      <c r="BB116" s="67" t="n"/>
      <c r="BC116" s="67" t="n"/>
      <c r="BD116" s="67" t="n"/>
      <c r="BE116" s="67" t="n"/>
      <c r="BF116" s="67" t="n"/>
      <c r="BG116" s="67" t="n"/>
      <c r="BH116" s="67" t="n"/>
      <c r="BI116" s="67" t="n"/>
      <c r="BJ116" s="67" t="n"/>
      <c r="BK116" s="67" t="n"/>
      <c r="BL116" s="67" t="n"/>
      <c r="BM116" s="67" t="n"/>
      <c r="BN116" s="67" t="n"/>
      <c r="BO116" s="67" t="n"/>
      <c r="BP116" s="67" t="n"/>
      <c r="BQ116" s="67" t="n"/>
      <c r="BR116" s="67" t="n"/>
      <c r="BS116" s="67" t="n"/>
      <c r="BT116" s="67" t="n"/>
      <c r="BU116" s="67" t="n"/>
      <c r="BV116" s="67" t="n"/>
      <c r="BW116" s="67" t="n"/>
      <c r="BX116" s="67" t="n"/>
      <c r="BY116" s="67" t="n"/>
      <c r="BZ116" s="67" t="n"/>
    </row>
    <row r="117" ht="15" customHeight="1">
      <c r="A117" s="65" t="n"/>
      <c r="B117" s="68" t="inlineStr">
        <is>
          <t>Class timing provided by software on 29.9.26 is wrong. It is to be rescheduled</t>
        </is>
      </c>
      <c r="C117" s="67" t="n"/>
      <c r="D117" s="67" t="n"/>
      <c r="E117" s="67" t="n"/>
      <c r="F117" s="67" t="n"/>
      <c r="G117" s="67" t="n"/>
      <c r="H117" s="67" t="n"/>
      <c r="I117" s="63">
        <f>G117-H117</f>
        <v/>
      </c>
      <c r="J117" s="67" t="n"/>
      <c r="K117" s="67" t="n"/>
      <c r="L117" s="67" t="n"/>
      <c r="M117" s="67" t="n"/>
      <c r="N117" s="67" t="n"/>
      <c r="O117" s="67" t="n"/>
      <c r="P117" s="67" t="n"/>
      <c r="Q117" s="67" t="n"/>
      <c r="R117" s="67" t="n"/>
      <c r="S117" s="67" t="n"/>
      <c r="T117" s="67" t="n"/>
      <c r="U117" s="67" t="n"/>
      <c r="V117" s="67" t="n"/>
      <c r="W117" s="67" t="n"/>
      <c r="X117" s="67" t="n"/>
      <c r="Y117" s="67" t="n"/>
      <c r="Z117" s="67" t="n"/>
      <c r="AA117" s="67" t="n"/>
      <c r="AB117" s="67" t="n"/>
      <c r="AC117" s="67" t="n"/>
      <c r="AD117" s="67" t="n"/>
      <c r="AE117" s="67" t="n"/>
      <c r="AF117" s="67" t="n"/>
      <c r="AG117" s="67" t="n"/>
      <c r="AH117" s="67" t="n"/>
      <c r="AI117" s="67" t="n"/>
      <c r="AJ117" s="67" t="n"/>
      <c r="AK117" s="67" t="n"/>
      <c r="AL117" s="67" t="n"/>
      <c r="AM117" s="67" t="n"/>
      <c r="AN117" s="67" t="n"/>
      <c r="AO117" s="67" t="n"/>
      <c r="AP117" s="67" t="n"/>
      <c r="AQ117" s="67" t="n"/>
      <c r="AR117" s="67" t="n"/>
      <c r="AS117" s="67" t="n"/>
      <c r="AT117" s="67" t="n"/>
      <c r="AU117" s="67" t="n"/>
      <c r="AV117" s="67" t="n"/>
      <c r="AW117" s="67" t="n"/>
      <c r="AX117" s="67" t="n"/>
      <c r="AY117" s="67" t="n"/>
      <c r="AZ117" s="67" t="n"/>
      <c r="BA117" s="67" t="n"/>
      <c r="BB117" s="67" t="n"/>
      <c r="BC117" s="67" t="n"/>
      <c r="BD117" s="67" t="n"/>
      <c r="BE117" s="67" t="n"/>
      <c r="BF117" s="67" t="n"/>
      <c r="BG117" s="67" t="n"/>
      <c r="BH117" s="67" t="n"/>
      <c r="BI117" s="67" t="n"/>
      <c r="BJ117" s="67" t="n"/>
      <c r="BK117" s="67" t="n"/>
      <c r="BL117" s="67" t="n"/>
      <c r="BM117" s="67" t="n"/>
      <c r="BN117" s="67" t="n"/>
      <c r="BO117" s="67" t="n"/>
      <c r="BP117" s="67" t="n"/>
      <c r="BQ117" s="67" t="n"/>
      <c r="BR117" s="67" t="n"/>
      <c r="BS117" s="67" t="n"/>
      <c r="BT117" s="67" t="n"/>
      <c r="BU117" s="67" t="n"/>
      <c r="BV117" s="67" t="n"/>
      <c r="BW117" s="67" t="n"/>
      <c r="BX117" s="67" t="n"/>
      <c r="BY117" s="67" t="n"/>
      <c r="BZ117" s="67" t="n"/>
    </row>
    <row r="118" ht="15" customHeight="1">
      <c r="A118" s="16" t="inlineStr">
        <is>
          <t>C S Sharwin</t>
        </is>
      </c>
      <c r="B118" s="16" t="inlineStr">
        <is>
          <t>MKS00197</t>
        </is>
      </c>
      <c r="C118" s="16" t="n">
        <v>2.4</v>
      </c>
      <c r="D118" s="16" t="inlineStr">
        <is>
          <t>Beginner</t>
        </is>
      </c>
      <c r="E118" s="16" t="inlineStr">
        <is>
          <t>G Beginner1B</t>
        </is>
      </c>
      <c r="F118" s="16" t="n"/>
      <c r="G118" s="61" t="n">
        <v>13</v>
      </c>
      <c r="H118" s="61">
        <f>COUNT(J118:BS118)</f>
        <v/>
      </c>
      <c r="I118" s="63">
        <f>G118-H118</f>
        <v/>
      </c>
      <c r="J118" s="60" t="n">
        <v>0.8333333333333334</v>
      </c>
      <c r="K118" s="61" t="inlineStr">
        <is>
          <t>Bathri</t>
        </is>
      </c>
      <c r="L118" s="61" t="n"/>
      <c r="M118" s="61" t="n"/>
      <c r="N118" s="60" t="n">
        <v>0.8333333333333334</v>
      </c>
      <c r="O118" s="61" t="inlineStr">
        <is>
          <t>Bathri</t>
        </is>
      </c>
      <c r="P118" s="19" t="n"/>
      <c r="Q118" s="19" t="n"/>
      <c r="R118" s="61" t="n"/>
      <c r="S118" s="61" t="n"/>
      <c r="T118" s="60" t="n">
        <v>0.8333333333333334</v>
      </c>
      <c r="U118" s="61" t="inlineStr">
        <is>
          <t>Bathri</t>
        </is>
      </c>
      <c r="V118" s="61" t="n"/>
      <c r="W118" s="61" t="n"/>
      <c r="X118" s="60" t="n">
        <v>0.8333333333333334</v>
      </c>
      <c r="Y118" s="61" t="inlineStr">
        <is>
          <t>Bathri</t>
        </is>
      </c>
      <c r="Z118" s="61" t="n"/>
      <c r="AA118" s="61" t="n"/>
      <c r="AB118" s="60" t="n">
        <v>0.8333333333333334</v>
      </c>
      <c r="AC118" s="61" t="inlineStr">
        <is>
          <t>Bathri</t>
        </is>
      </c>
      <c r="AD118" s="19" t="n"/>
      <c r="AE118" s="19" t="n"/>
      <c r="AF118" s="61" t="n"/>
      <c r="AG118" s="61" t="n"/>
      <c r="AH118" s="60" t="n">
        <v>0.8333333333333334</v>
      </c>
      <c r="AI118" s="61" t="inlineStr">
        <is>
          <t>Bathri</t>
        </is>
      </c>
      <c r="AJ118" s="61" t="n"/>
      <c r="AK118" s="61" t="n"/>
      <c r="AL118" s="60" t="n">
        <v>0.8333333333333334</v>
      </c>
      <c r="AM118" s="61" t="inlineStr">
        <is>
          <t>Bathri</t>
        </is>
      </c>
      <c r="AN118" s="61" t="n"/>
      <c r="AO118" s="61" t="n"/>
      <c r="AP118" s="60" t="n">
        <v>0.8333333333333334</v>
      </c>
      <c r="AQ118" s="61" t="inlineStr">
        <is>
          <t>Bathri</t>
        </is>
      </c>
      <c r="AR118" s="19" t="n"/>
      <c r="AS118" s="19" t="n"/>
      <c r="AT118" s="61" t="n"/>
      <c r="AU118" s="61" t="n"/>
      <c r="AV118" s="60" t="n">
        <v>0.8333333333333334</v>
      </c>
      <c r="AW118" s="61" t="inlineStr">
        <is>
          <t>Bathri</t>
        </is>
      </c>
      <c r="AX118" s="61" t="n"/>
      <c r="AY118" s="61" t="n"/>
      <c r="AZ118" s="61" t="n"/>
      <c r="BA118" s="61" t="n"/>
      <c r="BB118" s="61" t="n"/>
      <c r="BC118" s="61" t="n"/>
      <c r="BD118" s="60" t="n">
        <v>0.8333333333333334</v>
      </c>
      <c r="BE118" s="61" t="inlineStr">
        <is>
          <t>Bathri</t>
        </is>
      </c>
      <c r="BF118" s="19" t="n"/>
      <c r="BG118" s="19" t="n"/>
      <c r="BH118" s="61" t="n"/>
      <c r="BI118" s="61" t="n"/>
      <c r="BJ118" s="60" t="n">
        <v>0.8333333333333334</v>
      </c>
      <c r="BK118" s="61" t="inlineStr">
        <is>
          <t>Bathri</t>
        </is>
      </c>
      <c r="BL118" s="61" t="n"/>
      <c r="BM118" s="61" t="n"/>
      <c r="BN118" s="60" t="n">
        <v>0.8333333333333334</v>
      </c>
      <c r="BO118" s="61" t="inlineStr">
        <is>
          <t>Bathri</t>
        </is>
      </c>
      <c r="BP118" s="61" t="n"/>
      <c r="BQ118" s="61" t="n"/>
      <c r="BR118" s="61" t="n"/>
      <c r="BS118" s="61" t="n"/>
      <c r="BT118" s="16" t="inlineStr">
        <is>
          <t>Planned 13 capped at 12/month</t>
        </is>
      </c>
      <c r="BU118" s="61">
        <f>MIN(G118,12)</f>
        <v/>
      </c>
      <c r="BV118" s="61">
        <f>COUNT(J118:W118)</f>
        <v/>
      </c>
      <c r="BW118" s="61">
        <f>COUNT(X118:AK118)</f>
        <v/>
      </c>
      <c r="BX118" s="61">
        <f>COUNT(AL118:AY118)</f>
        <v/>
      </c>
      <c r="BY118" s="61">
        <f>COUNT(AZ118:BS118)</f>
        <v/>
      </c>
      <c r="BZ118" s="61">
        <f>IF(AND(H118=$BU118,BV118&gt;=INT($BU118/4),BV118&lt;=INT($BU118/4)+IF(MOD($BU118,4)&gt;0,1,0),BW118&gt;=INT($BU118/4),BW118&lt;=INT($BU118/4)+IF(MOD($BU118,4)&gt;0,1,0),BX118&gt;=INT($BU118/4),BX118&lt;=INT($BU118/4)+IF(MOD($BU118,4)&gt;0,1,0),BY118&gt;=INT($BU118/4),BY118&lt;=INT($BU118/4)+IF(MOD($BU118,4)&gt;0,1,0)),"OK","CHECK")</f>
        <v/>
      </c>
    </row>
    <row r="119" ht="15" customHeight="1">
      <c r="A119" s="16" t="inlineStr">
        <is>
          <t>D R RAJAGOPALAN</t>
        </is>
      </c>
      <c r="B119" s="16" t="inlineStr">
        <is>
          <t>MKS00176</t>
        </is>
      </c>
      <c r="C119" s="16" t="n">
        <v>3.9</v>
      </c>
      <c r="D119" s="16" t="inlineStr">
        <is>
          <t>Beginner</t>
        </is>
      </c>
      <c r="E119" s="16" t="inlineStr">
        <is>
          <t>G beginner1D</t>
        </is>
      </c>
      <c r="F119" s="16" t="inlineStr">
        <is>
          <t>11am Sunday tournament</t>
        </is>
      </c>
      <c r="G119" s="61" t="n">
        <v>12</v>
      </c>
      <c r="H119" s="61">
        <f>COUNT(J119:BS119)</f>
        <v/>
      </c>
      <c r="I119" s="63">
        <f>G119-H119</f>
        <v/>
      </c>
      <c r="J119" s="61" t="n"/>
      <c r="K119" s="61" t="n"/>
      <c r="L119" s="85" t="n">
        <v>0.8333333333333334</v>
      </c>
      <c r="M119" s="86" t="inlineStr">
        <is>
          <t>Bathri</t>
        </is>
      </c>
      <c r="N119" s="60" t="n">
        <v>0.8333333333333334</v>
      </c>
      <c r="O119" s="61" t="inlineStr">
        <is>
          <t>Bathri</t>
        </is>
      </c>
      <c r="P119" s="22" t="n">
        <v>0.4583333333333333</v>
      </c>
      <c r="Q119" s="23" t="inlineStr">
        <is>
          <t>Abinaya</t>
        </is>
      </c>
      <c r="R119" s="61" t="n"/>
      <c r="S119" s="61" t="n"/>
      <c r="T119" s="61" t="n"/>
      <c r="U119" s="61" t="n"/>
      <c r="V119" s="61" t="n"/>
      <c r="W119" s="61" t="n"/>
      <c r="X119" s="61" t="n"/>
      <c r="Y119" s="61" t="n"/>
      <c r="Z119" s="60" t="n">
        <v>0.8333333333333334</v>
      </c>
      <c r="AA119" s="61" t="inlineStr">
        <is>
          <t>Bathri</t>
        </is>
      </c>
      <c r="AB119" s="60" t="n">
        <v>0.8333333333333334</v>
      </c>
      <c r="AC119" s="61" t="inlineStr">
        <is>
          <t>Bathri</t>
        </is>
      </c>
      <c r="AD119" s="46" t="n">
        <v>0.4583333333333333</v>
      </c>
      <c r="AE119" s="47" t="inlineStr">
        <is>
          <t>Manikandan</t>
        </is>
      </c>
      <c r="AF119" s="61" t="n"/>
      <c r="AG119" s="61" t="n"/>
      <c r="AH119" s="61" t="n"/>
      <c r="AI119" s="61" t="n"/>
      <c r="AJ119" s="61" t="n"/>
      <c r="AK119" s="61" t="n"/>
      <c r="AL119" s="61" t="n"/>
      <c r="AM119" s="61" t="n"/>
      <c r="AN119" s="60" t="n">
        <v>0.8333333333333334</v>
      </c>
      <c r="AO119" s="61" t="inlineStr">
        <is>
          <t>Bathri</t>
        </is>
      </c>
      <c r="AP119" s="61" t="n"/>
      <c r="AQ119" s="61" t="n"/>
      <c r="AR119" s="46" t="n">
        <v>0.4583333333333333</v>
      </c>
      <c r="AS119" s="47" t="inlineStr">
        <is>
          <t>Manikandan</t>
        </is>
      </c>
      <c r="AT119" s="61" t="n"/>
      <c r="AU119" s="61" t="n"/>
      <c r="AV119" s="22" t="n">
        <v>0.8333333333333334</v>
      </c>
      <c r="AW119" s="23" t="inlineStr">
        <is>
          <t>Bathri</t>
        </is>
      </c>
      <c r="AX119" s="60" t="n"/>
      <c r="AY119" s="61" t="n"/>
      <c r="AZ119" s="61" t="n"/>
      <c r="BA119" s="61" t="n"/>
      <c r="BB119" s="60" t="n">
        <v>0.8333333333333334</v>
      </c>
      <c r="BC119" s="61" t="inlineStr">
        <is>
          <t>Bathri</t>
        </is>
      </c>
      <c r="BD119" s="61" t="n"/>
      <c r="BE119" s="61" t="n"/>
      <c r="BF119" s="46" t="n">
        <v>0.4583333333333333</v>
      </c>
      <c r="BG119" s="47" t="inlineStr">
        <is>
          <t>Manikandan</t>
        </is>
      </c>
      <c r="BH119" s="61" t="n"/>
      <c r="BI119" s="61" t="n"/>
      <c r="BJ119" s="61" t="n"/>
      <c r="BK119" s="61" t="n"/>
      <c r="BL119" s="61" t="n"/>
      <c r="BM119" s="61" t="n"/>
      <c r="BN119" s="61" t="n"/>
      <c r="BO119" s="61" t="n"/>
      <c r="BP119" s="60" t="n">
        <v>0.8333333333333334</v>
      </c>
      <c r="BQ119" s="61" t="inlineStr">
        <is>
          <t>Bathri</t>
        </is>
      </c>
      <c r="BR119" s="61" t="n"/>
      <c r="BS119" s="61" t="n"/>
      <c r="BT119" s="16" t="n"/>
      <c r="BU119" s="61">
        <f>MIN(G119,12)</f>
        <v/>
      </c>
      <c r="BV119" s="61">
        <f>COUNT(J119:W119)</f>
        <v/>
      </c>
      <c r="BW119" s="61">
        <f>COUNT(X119:AK119)</f>
        <v/>
      </c>
      <c r="BX119" s="61">
        <f>COUNT(AL119:AY119)</f>
        <v/>
      </c>
      <c r="BY119" s="61">
        <f>COUNT(AZ119:BS119)</f>
        <v/>
      </c>
      <c r="BZ119" s="61">
        <f>IF(AND(H119=$BU119,BV119&gt;=INT($BU119/4),BV119&lt;=INT($BU119/4)+IF(MOD($BU119,4)&gt;0,1,0),BW119&gt;=INT($BU119/4),BW119&lt;=INT($BU119/4)+IF(MOD($BU119,4)&gt;0,1,0),BX119&gt;=INT($BU119/4),BX119&lt;=INT($BU119/4)+IF(MOD($BU119,4)&gt;0,1,0),BY119&gt;=INT($BU119/4),BY119&lt;=INT($BU119/4)+IF(MOD($BU119,4)&gt;0,1,0)),"OK","CHECK")</f>
        <v/>
      </c>
    </row>
    <row r="120" ht="15" customHeight="1">
      <c r="A120" s="33" t="inlineStr">
        <is>
          <t>N.sri dharshni</t>
        </is>
      </c>
      <c r="B120" s="16" t="inlineStr">
        <is>
          <t>MKS00055</t>
        </is>
      </c>
      <c r="C120" s="16" t="n">
        <v>4.4</v>
      </c>
      <c r="D120" s="16" t="inlineStr">
        <is>
          <t>Beginner</t>
        </is>
      </c>
      <c r="E120" s="16" t="inlineStr">
        <is>
          <t>L Beginner2</t>
        </is>
      </c>
      <c r="F120" s="16" t="inlineStr">
        <is>
          <t>only 3 studens in limted batch, not available after 9pm or 6am</t>
        </is>
      </c>
      <c r="G120" s="55" t="n">
        <v>16</v>
      </c>
      <c r="H120" s="61">
        <f>COUNT(J120:BS120)</f>
        <v/>
      </c>
      <c r="I120" s="63">
        <f>G120-H120</f>
        <v/>
      </c>
      <c r="J120" s="83" t="n">
        <v>0.7916666666666666</v>
      </c>
      <c r="K120" s="84" t="inlineStr">
        <is>
          <t>Prakash</t>
        </is>
      </c>
      <c r="L120" s="61" t="n"/>
      <c r="M120" s="61" t="n"/>
      <c r="N120" s="60" t="n"/>
      <c r="O120" s="61" t="n"/>
      <c r="P120" s="54" t="n">
        <v>0.5625</v>
      </c>
      <c r="Q120" s="55" t="inlineStr">
        <is>
          <t>Abinaya</t>
        </is>
      </c>
      <c r="R120" s="22" t="n">
        <v>0.7916666666666666</v>
      </c>
      <c r="S120" s="23" t="inlineStr">
        <is>
          <t>Prakash</t>
        </is>
      </c>
      <c r="T120" s="22" t="n">
        <v>0.7916666666666666</v>
      </c>
      <c r="U120" s="23" t="inlineStr">
        <is>
          <t>Prakash</t>
        </is>
      </c>
      <c r="V120" s="61" t="n"/>
      <c r="W120" s="61" t="n"/>
      <c r="X120" s="83" t="n">
        <v>0.7916666666666666</v>
      </c>
      <c r="Y120" s="84" t="inlineStr">
        <is>
          <t>Prakash</t>
        </is>
      </c>
      <c r="Z120" s="61" t="n"/>
      <c r="AA120" s="61" t="n"/>
      <c r="AB120" s="60" t="n"/>
      <c r="AC120" s="61" t="n"/>
      <c r="AD120" s="54" t="n">
        <v>0.5625</v>
      </c>
      <c r="AE120" s="55" t="inlineStr">
        <is>
          <t>Abinaya</t>
        </is>
      </c>
      <c r="AF120" s="54" t="n">
        <v>0.7916666666666666</v>
      </c>
      <c r="AG120" s="55" t="inlineStr">
        <is>
          <t>Prakash</t>
        </is>
      </c>
      <c r="AH120" s="60" t="n">
        <v>0.7916666666666666</v>
      </c>
      <c r="AI120" s="61" t="inlineStr">
        <is>
          <t>Prakash</t>
        </is>
      </c>
      <c r="AJ120" s="60" t="n"/>
      <c r="AK120" s="61" t="n"/>
      <c r="AL120" s="61" t="n"/>
      <c r="AM120" s="61" t="n"/>
      <c r="AN120" s="61" t="n"/>
      <c r="AO120" s="61" t="n"/>
      <c r="AP120" s="60" t="n"/>
      <c r="AQ120" s="61" t="n"/>
      <c r="AR120" s="60" t="n">
        <v>0.5625</v>
      </c>
      <c r="AS120" s="61" t="inlineStr">
        <is>
          <t>Abinaya</t>
        </is>
      </c>
      <c r="AT120" s="54" t="n">
        <v>0.7916666666666666</v>
      </c>
      <c r="AU120" s="55" t="inlineStr">
        <is>
          <t>Prakash</t>
        </is>
      </c>
      <c r="AV120" s="60" t="n">
        <v>0.7916666666666666</v>
      </c>
      <c r="AW120" s="61" t="inlineStr">
        <is>
          <t>Prakash</t>
        </is>
      </c>
      <c r="AX120" s="83" t="n">
        <v>0.7916666666666666</v>
      </c>
      <c r="AY120" s="84" t="inlineStr">
        <is>
          <t>Prakash</t>
        </is>
      </c>
      <c r="AZ120" s="83" t="n">
        <v>0.7916666666666666</v>
      </c>
      <c r="BA120" s="84" t="inlineStr">
        <is>
          <t>Prakash</t>
        </is>
      </c>
      <c r="BB120" s="83" t="n">
        <v>0.7916666666666666</v>
      </c>
      <c r="BC120" s="84" t="inlineStr">
        <is>
          <t>Prakash</t>
        </is>
      </c>
      <c r="BD120" s="60" t="n"/>
      <c r="BE120" s="61" t="n"/>
      <c r="BF120" s="54" t="n">
        <v>0.5625</v>
      </c>
      <c r="BG120" s="55" t="inlineStr">
        <is>
          <t>Abinaya</t>
        </is>
      </c>
      <c r="BH120" s="54" t="n">
        <v>0.7916666666666666</v>
      </c>
      <c r="BI120" s="55" t="inlineStr">
        <is>
          <t>Prakash</t>
        </is>
      </c>
      <c r="BJ120" s="61" t="n"/>
      <c r="BK120" s="61" t="n"/>
      <c r="BL120" s="61" t="n"/>
      <c r="BM120" s="61" t="n"/>
      <c r="BN120" s="61" t="n"/>
      <c r="BO120" s="61" t="n"/>
      <c r="BP120" s="61" t="n"/>
      <c r="BQ120" s="61" t="n"/>
      <c r="BR120" s="61" t="n"/>
      <c r="BS120" s="61" t="n"/>
      <c r="BT120" s="16" t="inlineStr">
        <is>
          <t>Coach pref: Prakash | Sidharthh | Newly assigned for Oct</t>
        </is>
      </c>
      <c r="BU120" s="61">
        <f>MIN(G120,12)</f>
        <v/>
      </c>
      <c r="BV120" s="61">
        <f>COUNT(J120:W120)</f>
        <v/>
      </c>
      <c r="BW120" s="61">
        <f>COUNT(X120:AK120)</f>
        <v/>
      </c>
      <c r="BX120" s="61">
        <f>COUNT(AL120:AY120)</f>
        <v/>
      </c>
      <c r="BY120" s="61">
        <f>COUNT(AZ120:BS120)</f>
        <v/>
      </c>
      <c r="BZ120" s="61">
        <f>IF(AND(H120=$BU120,BV120&gt;=INT($BU120/4),BV120&lt;=INT($BU120/4)+IF(MOD($BU120,4)&gt;0,1,0),BW120&gt;=INT($BU120/4),BW120&lt;=INT($BU120/4)+IF(MOD($BU120,4)&gt;0,1,0),BX120&gt;=INT($BU120/4),BX120&lt;=INT($BU120/4)+IF(MOD($BU120,4)&gt;0,1,0),BY120&gt;=INT($BU120/4),BY120&lt;=INT($BU120/4)+IF(MOD($BU120,4)&gt;0,1,0)),"OK","CHECK")</f>
        <v/>
      </c>
    </row>
    <row r="121" ht="15" customHeight="1">
      <c r="A121" s="16" t="inlineStr">
        <is>
          <t>Sachin</t>
        </is>
      </c>
      <c r="B121" s="16" t="inlineStr">
        <is>
          <t>MKS00059</t>
        </is>
      </c>
      <c r="C121" s="16" t="n">
        <v>7.6</v>
      </c>
      <c r="D121" s="16" t="inlineStr">
        <is>
          <t>Intermediate</t>
        </is>
      </c>
      <c r="E121" s="16" t="inlineStr">
        <is>
          <t>L Intermediate2</t>
        </is>
      </c>
      <c r="F121" s="16" t="inlineStr">
        <is>
          <t>Intermediate2 doesn’t have Sunday tournament</t>
        </is>
      </c>
      <c r="G121" s="61" t="n">
        <v>12</v>
      </c>
      <c r="H121" s="61">
        <f>COUNT(J121:BS121)</f>
        <v/>
      </c>
      <c r="I121" s="63">
        <f>G121-H121</f>
        <v/>
      </c>
      <c r="J121" s="61" t="n"/>
      <c r="K121" s="61" t="n"/>
      <c r="L121" s="22" t="n">
        <v>0.7291666666666666</v>
      </c>
      <c r="M121" s="23" t="inlineStr">
        <is>
          <t>Arshath</t>
        </is>
      </c>
      <c r="N121" s="60" t="n">
        <v>0.7083333333333334</v>
      </c>
      <c r="O121" s="61" t="inlineStr">
        <is>
          <t>Arshath</t>
        </is>
      </c>
      <c r="P121" s="32" t="n">
        <v>0.4166666666666667</v>
      </c>
      <c r="Q121" s="19" t="inlineStr">
        <is>
          <t>Arshath</t>
        </is>
      </c>
      <c r="R121" s="61" t="n"/>
      <c r="S121" s="61" t="n"/>
      <c r="T121" s="61" t="n"/>
      <c r="U121" s="61" t="n"/>
      <c r="V121" s="61" t="n"/>
      <c r="W121" s="61" t="n"/>
      <c r="X121" s="61" t="n"/>
      <c r="Y121" s="61" t="n"/>
      <c r="Z121" s="37" t="n">
        <v>0.7291666666666666</v>
      </c>
      <c r="AA121" s="38" t="inlineStr">
        <is>
          <t>Arshath</t>
        </is>
      </c>
      <c r="AB121" s="60" t="n">
        <v>0.7083333333333334</v>
      </c>
      <c r="AC121" s="61" t="inlineStr">
        <is>
          <t>Arshath</t>
        </is>
      </c>
      <c r="AD121" s="37" t="n">
        <v>0.7291666666666666</v>
      </c>
      <c r="AE121" s="38" t="inlineStr">
        <is>
          <t>Arshath</t>
        </is>
      </c>
      <c r="AF121" s="37" t="n"/>
      <c r="AG121" s="38" t="n"/>
      <c r="AH121" s="37" t="n"/>
      <c r="AI121" s="38" t="n"/>
      <c r="AJ121" s="37" t="n"/>
      <c r="AK121" s="38" t="n"/>
      <c r="AL121" s="37" t="n"/>
      <c r="AM121" s="38" t="n"/>
      <c r="AN121" s="83" t="n">
        <v>0.7291666666666666</v>
      </c>
      <c r="AO121" s="84" t="inlineStr">
        <is>
          <t>Arshath</t>
        </is>
      </c>
      <c r="AP121" s="60" t="n"/>
      <c r="AQ121" s="61" t="n"/>
      <c r="AR121" s="37" t="n"/>
      <c r="AS121" s="38" t="n"/>
      <c r="AT121" s="37" t="n"/>
      <c r="AU121" s="38" t="n"/>
      <c r="AV121" s="37" t="n"/>
      <c r="AW121" s="38" t="n"/>
      <c r="AX121" s="37" t="n"/>
      <c r="AY121" s="38" t="n"/>
      <c r="AZ121" s="60" t="n"/>
      <c r="BA121" s="61" t="n"/>
      <c r="BB121" s="37" t="n">
        <v>0.7291666666666666</v>
      </c>
      <c r="BC121" s="38" t="inlineStr">
        <is>
          <t>Arshath</t>
        </is>
      </c>
      <c r="BD121" s="61" t="n"/>
      <c r="BE121" s="61" t="n"/>
      <c r="BF121" s="32" t="n">
        <v>0.4166666666666667</v>
      </c>
      <c r="BG121" s="19" t="inlineStr">
        <is>
          <t>Arshath</t>
        </is>
      </c>
      <c r="BH121" s="61" t="n"/>
      <c r="BI121" s="61" t="n"/>
      <c r="BJ121" s="61" t="n"/>
      <c r="BK121" s="61" t="n"/>
      <c r="BL121" s="61" t="n"/>
      <c r="BM121" s="61" t="n"/>
      <c r="BN121" s="61" t="n"/>
      <c r="BO121" s="61" t="n"/>
      <c r="BP121" s="83" t="n">
        <v>0.7291666666666666</v>
      </c>
      <c r="BQ121" s="84" t="inlineStr">
        <is>
          <t>Arshath</t>
        </is>
      </c>
      <c r="BR121" s="61" t="n"/>
      <c r="BS121" s="61" t="n"/>
      <c r="BT121" s="16" t="n"/>
      <c r="BU121" s="61">
        <f>MIN(G121,12)</f>
        <v/>
      </c>
      <c r="BV121" s="61">
        <f>COUNT(J121:W121)</f>
        <v/>
      </c>
      <c r="BW121" s="61">
        <f>COUNT(X121:AK121)</f>
        <v/>
      </c>
      <c r="BX121" s="61">
        <f>COUNT(AL121:AY121)</f>
        <v/>
      </c>
      <c r="BY121" s="61">
        <f>COUNT(AZ121:BS121)</f>
        <v/>
      </c>
      <c r="BZ121" s="61">
        <f>IF(AND(H121=$BU121,BV121&gt;=INT($BU121/4),BV121&lt;=INT($BU121/4)+IF(MOD($BU121,4)&gt;0,1,0),BW121&gt;=INT($BU121/4),BW121&lt;=INT($BU121/4)+IF(MOD($BU121,4)&gt;0,1,0),BX121&gt;=INT($BU121/4),BX121&lt;=INT($BU121/4)+IF(MOD($BU121,4)&gt;0,1,0),BY121&gt;=INT($BU121/4),BY121&lt;=INT($BU121/4)+IF(MOD($BU121,4)&gt;0,1,0)),"OK","CHECK")</f>
        <v/>
      </c>
    </row>
    <row r="122" ht="15" customHeight="1">
      <c r="A122" s="45" t="inlineStr">
        <is>
          <t>Vivaan Aaditya</t>
        </is>
      </c>
      <c r="B122" s="45" t="inlineStr">
        <is>
          <t>MKS00053</t>
        </is>
      </c>
      <c r="C122" s="45" t="n">
        <v>8</v>
      </c>
      <c r="D122" s="45" t="inlineStr">
        <is>
          <t>Intermediate</t>
        </is>
      </c>
      <c r="E122" s="45" t="inlineStr">
        <is>
          <t>L Intermediate2</t>
        </is>
      </c>
      <c r="F122" s="45" t="inlineStr">
        <is>
          <t>Intermediate2 doesn’t have Sunday tournament</t>
        </is>
      </c>
      <c r="G122" s="70" t="n">
        <v>12</v>
      </c>
      <c r="H122" s="70">
        <f>COUNT(J122:BS122)</f>
        <v/>
      </c>
      <c r="I122" s="63">
        <f>G122-H122</f>
        <v/>
      </c>
      <c r="J122" s="70" t="n"/>
      <c r="K122" s="70" t="n"/>
      <c r="L122" s="73" t="n">
        <v>0.7291666666666666</v>
      </c>
      <c r="M122" s="74" t="inlineStr">
        <is>
          <t>Arshath</t>
        </is>
      </c>
      <c r="N122" s="75" t="n">
        <v>0.7083333333333334</v>
      </c>
      <c r="O122" s="70" t="inlineStr">
        <is>
          <t>Arshath</t>
        </is>
      </c>
      <c r="P122" s="77" t="n">
        <v>0.4166666666666667</v>
      </c>
      <c r="Q122" s="78" t="inlineStr">
        <is>
          <t>Arshath</t>
        </is>
      </c>
      <c r="R122" s="70" t="n"/>
      <c r="S122" s="70" t="n"/>
      <c r="T122" s="70" t="n"/>
      <c r="U122" s="70" t="n"/>
      <c r="V122" s="70" t="n"/>
      <c r="W122" s="70" t="n"/>
      <c r="X122" s="70" t="n"/>
      <c r="Y122" s="70" t="n"/>
      <c r="Z122" s="79" t="n">
        <v>0.7291666666666666</v>
      </c>
      <c r="AA122" s="80" t="inlineStr">
        <is>
          <t>Arshath</t>
        </is>
      </c>
      <c r="AB122" s="75" t="n">
        <v>0.7083333333333334</v>
      </c>
      <c r="AC122" s="70" t="inlineStr">
        <is>
          <t>Arshath</t>
        </is>
      </c>
      <c r="AD122" s="79" t="n">
        <v>0.7291666666666666</v>
      </c>
      <c r="AE122" s="80" t="inlineStr">
        <is>
          <t>Arshath</t>
        </is>
      </c>
      <c r="AF122" s="79" t="n"/>
      <c r="AG122" s="80" t="n"/>
      <c r="AH122" s="79" t="n"/>
      <c r="AI122" s="80" t="n"/>
      <c r="AJ122" s="79" t="n"/>
      <c r="AK122" s="80" t="n"/>
      <c r="AL122" s="79" t="n"/>
      <c r="AM122" s="80" t="n"/>
      <c r="AN122" s="83" t="n">
        <v>0.7291666666666666</v>
      </c>
      <c r="AO122" s="84" t="inlineStr">
        <is>
          <t>Arshath</t>
        </is>
      </c>
      <c r="AP122" s="75" t="n"/>
      <c r="AQ122" s="70" t="n"/>
      <c r="AR122" s="79" t="n"/>
      <c r="AS122" s="80" t="n"/>
      <c r="AT122" s="79" t="n"/>
      <c r="AU122" s="80" t="n"/>
      <c r="AV122" s="79" t="n"/>
      <c r="AW122" s="80" t="n"/>
      <c r="AX122" s="79" t="n"/>
      <c r="AY122" s="80" t="n"/>
      <c r="AZ122" s="75" t="n"/>
      <c r="BA122" s="70" t="n"/>
      <c r="BB122" s="79" t="n">
        <v>0.7291666666666666</v>
      </c>
      <c r="BC122" s="80" t="inlineStr">
        <is>
          <t>Arshath</t>
        </is>
      </c>
      <c r="BD122" s="70" t="n"/>
      <c r="BE122" s="70" t="n"/>
      <c r="BF122" s="77" t="n">
        <v>0.4166666666666667</v>
      </c>
      <c r="BG122" s="78" t="inlineStr">
        <is>
          <t>Arshath</t>
        </is>
      </c>
      <c r="BH122" s="70" t="n"/>
      <c r="BI122" s="70" t="n"/>
      <c r="BJ122" s="70" t="n"/>
      <c r="BK122" s="70" t="n"/>
      <c r="BL122" s="70" t="n"/>
      <c r="BM122" s="70" t="n"/>
      <c r="BN122" s="70" t="n"/>
      <c r="BO122" s="70" t="n"/>
      <c r="BP122" s="83" t="n">
        <v>0.7291666666666666</v>
      </c>
      <c r="BQ122" s="84" t="inlineStr">
        <is>
          <t>Arshath</t>
        </is>
      </c>
      <c r="BR122" s="70" t="n"/>
      <c r="BS122" s="70" t="n"/>
      <c r="BT122" s="45" t="inlineStr">
        <is>
          <t>Monday to Thursday Hindi class from 7 to 7.45pm</t>
        </is>
      </c>
      <c r="BU122" s="70">
        <f>MIN(G122,12)</f>
        <v/>
      </c>
      <c r="BV122" s="70">
        <f>COUNT(J122:W122)</f>
        <v/>
      </c>
      <c r="BW122" s="70">
        <f>COUNT(X122:AK122)</f>
        <v/>
      </c>
      <c r="BX122" s="70">
        <f>COUNT(AL122:AY122)</f>
        <v/>
      </c>
      <c r="BY122" s="70">
        <f>COUNT(AZ122:BS122)</f>
        <v/>
      </c>
      <c r="BZ122" s="70">
        <f>IF(AND(H122=$BU122,BV122&gt;=INT($BU122/4),BV122&lt;=INT($BU122/4)+IF(MOD($BU122,4)&gt;0,1,0),BW122&gt;=INT($BU122/4),BW122&lt;=INT($BU122/4)+IF(MOD($BU122,4)&gt;0,1,0),BX122&gt;=INT($BU122/4),BX122&lt;=INT($BU122/4)+IF(MOD($BU122,4)&gt;0,1,0),BY122&gt;=INT($BU122/4),BY122&lt;=INT($BU122/4)+IF(MOD($BU122,4)&gt;0,1,0)),"OK","CHECK")</f>
        <v/>
      </c>
    </row>
    <row r="123" ht="15" customHeight="1">
      <c r="A123" s="45" t="inlineStr">
        <is>
          <t>Nithesh Nagarathinam</t>
        </is>
      </c>
      <c r="B123" s="45" t="inlineStr">
        <is>
          <t>MKS00054</t>
        </is>
      </c>
      <c r="C123" s="45" t="n">
        <v>5.8</v>
      </c>
      <c r="D123" s="69" t="inlineStr">
        <is>
          <t>Early Intermediate</t>
        </is>
      </c>
      <c r="E123" s="69" t="inlineStr">
        <is>
          <t>L Early Intermediate1</t>
        </is>
      </c>
      <c r="F123" s="51" t="inlineStr">
        <is>
          <t>Level Updated from E.Interm1 to Intermediate1</t>
        </is>
      </c>
      <c r="G123" s="70" t="n">
        <v>24</v>
      </c>
      <c r="H123" s="70">
        <f>COUNT(J123:BS123)</f>
        <v/>
      </c>
      <c r="I123" s="63">
        <f>G123-H123</f>
        <v/>
      </c>
      <c r="J123" s="71" t="n">
        <v>0.75</v>
      </c>
      <c r="K123" s="72" t="inlineStr">
        <is>
          <t>Dhaanush</t>
        </is>
      </c>
      <c r="L123" s="70" t="n"/>
      <c r="M123" s="70" t="n"/>
      <c r="N123" s="75" t="n">
        <v>0.75</v>
      </c>
      <c r="O123" s="70" t="inlineStr">
        <is>
          <t>Dhaanush</t>
        </is>
      </c>
      <c r="P123" s="78" t="n"/>
      <c r="Q123" s="78" t="n"/>
      <c r="R123" s="70" t="n"/>
      <c r="S123" s="70" t="n"/>
      <c r="T123" s="75" t="n">
        <v>0.75</v>
      </c>
      <c r="U123" s="70" t="inlineStr">
        <is>
          <t>Dhaanush</t>
        </is>
      </c>
      <c r="V123" s="70" t="n"/>
      <c r="W123" s="70" t="n"/>
      <c r="X123" s="71" t="n">
        <v>0.75</v>
      </c>
      <c r="Y123" s="72" t="inlineStr">
        <is>
          <t>Dhaanush</t>
        </is>
      </c>
      <c r="Z123" s="70" t="n"/>
      <c r="AA123" s="70" t="n"/>
      <c r="AB123" s="75" t="n">
        <v>0.75</v>
      </c>
      <c r="AC123" s="70" t="inlineStr">
        <is>
          <t>Dhaanush</t>
        </is>
      </c>
      <c r="AD123" s="78" t="n"/>
      <c r="AE123" s="78" t="n"/>
      <c r="AF123" s="70" t="n"/>
      <c r="AG123" s="70" t="n"/>
      <c r="AH123" s="75" t="n">
        <v>0.75</v>
      </c>
      <c r="AI123" s="70" t="inlineStr">
        <is>
          <t>Dhaanush</t>
        </is>
      </c>
      <c r="AJ123" s="70" t="n"/>
      <c r="AK123" s="70" t="n"/>
      <c r="AL123" s="71" t="n">
        <v>0.75</v>
      </c>
      <c r="AM123" s="72" t="inlineStr">
        <is>
          <t>Dhaanush</t>
        </is>
      </c>
      <c r="AN123" s="70" t="n"/>
      <c r="AO123" s="70" t="n"/>
      <c r="AP123" s="75" t="n">
        <v>0.75</v>
      </c>
      <c r="AQ123" s="70" t="inlineStr">
        <is>
          <t>Dhaanush</t>
        </is>
      </c>
      <c r="AR123" s="78" t="n"/>
      <c r="AS123" s="78" t="n"/>
      <c r="AT123" s="70" t="n"/>
      <c r="AU123" s="70" t="n"/>
      <c r="AV123" s="75" t="n">
        <v>0.75</v>
      </c>
      <c r="AW123" s="70" t="inlineStr">
        <is>
          <t>Dhaanush</t>
        </is>
      </c>
      <c r="AX123" s="70" t="n"/>
      <c r="AY123" s="70" t="n"/>
      <c r="AZ123" s="71" t="n">
        <v>0.75</v>
      </c>
      <c r="BA123" s="72" t="inlineStr">
        <is>
          <t>Dhaanush</t>
        </is>
      </c>
      <c r="BB123" s="70" t="n"/>
      <c r="BC123" s="70" t="n"/>
      <c r="BD123" s="70" t="n"/>
      <c r="BE123" s="70" t="n"/>
      <c r="BF123" s="78" t="n"/>
      <c r="BG123" s="78" t="n"/>
      <c r="BH123" s="75" t="n">
        <v>0.75</v>
      </c>
      <c r="BI123" s="70" t="inlineStr">
        <is>
          <t>Dhaanush</t>
        </is>
      </c>
      <c r="BJ123" s="75" t="n">
        <v>0.75</v>
      </c>
      <c r="BK123" s="70" t="inlineStr">
        <is>
          <t>Dhaanush</t>
        </is>
      </c>
      <c r="BL123" s="70" t="n"/>
      <c r="BM123" s="70" t="n"/>
      <c r="BN123" s="71" t="n">
        <v>0.75</v>
      </c>
      <c r="BO123" s="72" t="inlineStr">
        <is>
          <t>Dhaanush</t>
        </is>
      </c>
      <c r="BP123" s="70" t="n"/>
      <c r="BQ123" s="70" t="n"/>
      <c r="BR123" s="75" t="n">
        <v>0.75</v>
      </c>
      <c r="BS123" s="70" t="inlineStr">
        <is>
          <t>Dhaanush</t>
        </is>
      </c>
      <c r="BT123" s="45" t="inlineStr">
        <is>
          <t>Planned 24 capped at 12/month</t>
        </is>
      </c>
      <c r="BU123" s="70">
        <f>MIN(G123,12)</f>
        <v/>
      </c>
      <c r="BV123" s="70">
        <f>COUNT(J123:W123)</f>
        <v/>
      </c>
      <c r="BW123" s="70">
        <f>COUNT(X123:AK123)</f>
        <v/>
      </c>
      <c r="BX123" s="70">
        <f>COUNT(AL123:AY123)</f>
        <v/>
      </c>
      <c r="BY123" s="70">
        <f>COUNT(AZ123:BS123)</f>
        <v/>
      </c>
      <c r="BZ123" s="70">
        <f>IF(AND(H123=$BU123,BV123&gt;=INT($BU123/4),BV123&lt;=INT($BU123/4)+IF(MOD($BU123,4)&gt;0,1,0),BW123&gt;=INT($BU123/4),BW123&lt;=INT($BU123/4)+IF(MOD($BU123,4)&gt;0,1,0),BX123&gt;=INT($BU123/4),BX123&lt;=INT($BU123/4)+IF(MOD($BU123,4)&gt;0,1,0),BY123&gt;=INT($BU123/4),BY123&lt;=INT($BU123/4)+IF(MOD($BU123,4)&gt;0,1,0)),"OK","CHECK")</f>
        <v/>
      </c>
    </row>
    <row r="124" ht="15" customHeight="1">
      <c r="A124" s="53" t="inlineStr">
        <is>
          <t>Student Name</t>
        </is>
      </c>
      <c r="B124" s="53" t="inlineStr">
        <is>
          <t>Stud ID</t>
        </is>
      </c>
      <c r="C124" s="53" t="inlineStr">
        <is>
          <t>MKCA Rating</t>
        </is>
      </c>
      <c r="D124" s="53" t="inlineStr">
        <is>
          <t>Level</t>
        </is>
      </c>
      <c r="E124" s="53" t="inlineStr">
        <is>
          <t>Batch</t>
        </is>
      </c>
      <c r="F124" s="53" t="n"/>
      <c r="G124" s="53" t="inlineStr">
        <is>
          <t>Planned Classes</t>
        </is>
      </c>
      <c r="H124" s="53" t="inlineStr">
        <is>
          <t>Scheduled Classes</t>
        </is>
      </c>
      <c r="I124" s="63">
        <f>G124-H124</f>
        <v/>
      </c>
      <c r="J124" s="53" t="inlineStr">
        <is>
          <t>1-Oct Time</t>
        </is>
      </c>
      <c r="K124" s="53" t="inlineStr">
        <is>
          <t>1-Oct Coach</t>
        </is>
      </c>
      <c r="L124" s="53" t="inlineStr">
        <is>
          <t>2-Oct Time</t>
        </is>
      </c>
      <c r="M124" s="53" t="inlineStr">
        <is>
          <t>2-Oct Coach</t>
        </is>
      </c>
      <c r="N124" s="53" t="inlineStr">
        <is>
          <t>3-Oct Time</t>
        </is>
      </c>
      <c r="O124" s="53" t="inlineStr">
        <is>
          <t>3-Oct Coach</t>
        </is>
      </c>
      <c r="P124" s="76" t="inlineStr">
        <is>
          <t>4-Oct Time</t>
        </is>
      </c>
      <c r="Q124" s="76" t="inlineStr">
        <is>
          <t>4-Oct Coach</t>
        </is>
      </c>
      <c r="R124" s="53" t="inlineStr">
        <is>
          <t>5-Oct Time</t>
        </is>
      </c>
      <c r="S124" s="53" t="inlineStr">
        <is>
          <t>5-Oct Coach</t>
        </is>
      </c>
      <c r="T124" s="53" t="inlineStr">
        <is>
          <t>6-Oct Time</t>
        </is>
      </c>
      <c r="U124" s="53" t="inlineStr">
        <is>
          <t>6-Oct Coach</t>
        </is>
      </c>
      <c r="V124" s="53" t="inlineStr">
        <is>
          <t>7-Oct Time</t>
        </is>
      </c>
      <c r="W124" s="53" t="inlineStr">
        <is>
          <t>7-Oct Coach</t>
        </is>
      </c>
      <c r="X124" s="53" t="inlineStr">
        <is>
          <t>8-Oct Time</t>
        </is>
      </c>
      <c r="Y124" s="53" t="inlineStr">
        <is>
          <t>8-Oct Coach</t>
        </is>
      </c>
      <c r="Z124" s="53" t="inlineStr">
        <is>
          <t>9-Oct Time</t>
        </is>
      </c>
      <c r="AA124" s="53" t="inlineStr">
        <is>
          <t>9-Oct Coach</t>
        </is>
      </c>
      <c r="AB124" s="53" t="inlineStr">
        <is>
          <t>10-Oct Time</t>
        </is>
      </c>
      <c r="AC124" s="53" t="inlineStr">
        <is>
          <t>10-Oct Coach</t>
        </is>
      </c>
      <c r="AD124" s="76" t="inlineStr">
        <is>
          <t>11-Oct Time</t>
        </is>
      </c>
      <c r="AE124" s="76" t="inlineStr">
        <is>
          <t>11-Oct Coach</t>
        </is>
      </c>
      <c r="AF124" s="53" t="inlineStr">
        <is>
          <t>12-Oct Time</t>
        </is>
      </c>
      <c r="AG124" s="53" t="inlineStr">
        <is>
          <t>12-Oct Coach</t>
        </is>
      </c>
      <c r="AH124" s="53" t="inlineStr">
        <is>
          <t>13-Oct Time</t>
        </is>
      </c>
      <c r="AI124" s="53" t="inlineStr">
        <is>
          <t>13-Oct Coach</t>
        </is>
      </c>
      <c r="AJ124" s="53" t="inlineStr">
        <is>
          <t>14-Oct Time</t>
        </is>
      </c>
      <c r="AK124" s="53" t="inlineStr">
        <is>
          <t>14-Oct Coach</t>
        </is>
      </c>
      <c r="AL124" s="53" t="inlineStr">
        <is>
          <t>15-Oct Time</t>
        </is>
      </c>
      <c r="AM124" s="53" t="inlineStr">
        <is>
          <t>15-Oct Coach</t>
        </is>
      </c>
      <c r="AN124" s="53" t="inlineStr">
        <is>
          <t>16-Oct Time</t>
        </is>
      </c>
      <c r="AO124" s="53" t="inlineStr">
        <is>
          <t>16-Oct Coach</t>
        </is>
      </c>
      <c r="AP124" s="53" t="inlineStr">
        <is>
          <t>17-Oct Time</t>
        </is>
      </c>
      <c r="AQ124" s="53" t="inlineStr">
        <is>
          <t>17-Oct Coach</t>
        </is>
      </c>
      <c r="AR124" s="76" t="inlineStr">
        <is>
          <t>18-Oct Time</t>
        </is>
      </c>
      <c r="AS124" s="76" t="inlineStr">
        <is>
          <t>18-Oct Coach</t>
        </is>
      </c>
      <c r="AT124" s="53" t="inlineStr">
        <is>
          <t>19-Oct Time</t>
        </is>
      </c>
      <c r="AU124" s="53" t="inlineStr">
        <is>
          <t>19-Oct Coach</t>
        </is>
      </c>
      <c r="AV124" s="53" t="inlineStr">
        <is>
          <t>20-Oct Time</t>
        </is>
      </c>
      <c r="AW124" s="53" t="inlineStr">
        <is>
          <t>20-Oct Coach</t>
        </is>
      </c>
      <c r="AX124" s="53" t="inlineStr">
        <is>
          <t>21-Oct Time</t>
        </is>
      </c>
      <c r="AY124" s="53" t="inlineStr">
        <is>
          <t>21-Oct Coach</t>
        </is>
      </c>
      <c r="AZ124" s="53" t="inlineStr">
        <is>
          <t>22-Oct Time</t>
        </is>
      </c>
      <c r="BA124" s="53" t="inlineStr">
        <is>
          <t>22-Oct Coach</t>
        </is>
      </c>
      <c r="BB124" s="53" t="inlineStr">
        <is>
          <t>23-Oct Time</t>
        </is>
      </c>
      <c r="BC124" s="53" t="inlineStr">
        <is>
          <t>23-Oct Coach</t>
        </is>
      </c>
      <c r="BD124" s="53" t="inlineStr">
        <is>
          <t>24-Oct Time</t>
        </is>
      </c>
      <c r="BE124" s="53" t="inlineStr">
        <is>
          <t>24-Oct Coach</t>
        </is>
      </c>
      <c r="BF124" s="76" t="inlineStr">
        <is>
          <t>25-Oct Time</t>
        </is>
      </c>
      <c r="BG124" s="76" t="inlineStr">
        <is>
          <t>25-Oct Coach</t>
        </is>
      </c>
      <c r="BH124" s="53" t="inlineStr">
        <is>
          <t>26-Oct Time</t>
        </is>
      </c>
      <c r="BI124" s="53" t="inlineStr">
        <is>
          <t>26-Oct Coach</t>
        </is>
      </c>
      <c r="BJ124" s="53" t="inlineStr">
        <is>
          <t>27-Oct Time</t>
        </is>
      </c>
      <c r="BK124" s="53" t="inlineStr">
        <is>
          <t>27-Oct Coach</t>
        </is>
      </c>
      <c r="BL124" s="53" t="inlineStr">
        <is>
          <t>28-Oct Time</t>
        </is>
      </c>
      <c r="BM124" s="53" t="inlineStr">
        <is>
          <t>28-Oct Coach</t>
        </is>
      </c>
      <c r="BN124" s="53" t="inlineStr">
        <is>
          <t>29-Oct Time</t>
        </is>
      </c>
      <c r="BO124" s="53" t="inlineStr">
        <is>
          <t>29-Oct Coach</t>
        </is>
      </c>
      <c r="BP124" s="53" t="inlineStr">
        <is>
          <t>30-Oct Time</t>
        </is>
      </c>
      <c r="BQ124" s="53" t="inlineStr">
        <is>
          <t>30-Oct Coach</t>
        </is>
      </c>
      <c r="BR124" s="53" t="inlineStr">
        <is>
          <t>31-Oct Time</t>
        </is>
      </c>
      <c r="BS124" s="53" t="inlineStr">
        <is>
          <t>31-Oct Coach</t>
        </is>
      </c>
      <c r="BT124" s="53" t="inlineStr">
        <is>
          <t>Comments</t>
        </is>
      </c>
      <c r="BU124" s="53" t="inlineStr">
        <is>
          <t>Allowed Quota (max 12)</t>
        </is>
      </c>
      <c r="BV124" s="53" t="inlineStr">
        <is>
          <t>Wk1 (1-7 Oct)</t>
        </is>
      </c>
      <c r="BW124" s="53" t="inlineStr">
        <is>
          <t>Wk2 (8-14 Oct)</t>
        </is>
      </c>
      <c r="BX124" s="53" t="inlineStr">
        <is>
          <t>Wk3 (15-21 Oct)</t>
        </is>
      </c>
      <c r="BY124" s="53" t="inlineStr">
        <is>
          <t>Wk4 (22-31 Oct)</t>
        </is>
      </c>
      <c r="BZ124" s="53" t="inlineStr">
        <is>
          <t>Quota &amp; Weekly Check</t>
        </is>
      </c>
    </row>
    <row r="125" ht="15" customHeight="1">
      <c r="A125" s="58" t="inlineStr">
        <is>
          <t>Orange = moved off Sept pattern | Blue = time set to a valid slot</t>
        </is>
      </c>
      <c r="B125" s="59" t="n"/>
      <c r="C125" s="59" t="n"/>
      <c r="D125" s="59" t="n"/>
      <c r="E125" s="59" t="n"/>
      <c r="F125" s="59" t="n"/>
      <c r="G125" s="53" t="n"/>
      <c r="H125" s="53" t="inlineStr">
        <is>
          <t>Actual Classes</t>
        </is>
      </c>
      <c r="I125" s="63">
        <f>G125-H125</f>
        <v/>
      </c>
      <c r="J125" s="53">
        <f>SUMIF('[1]Class Roster'!$A$6:$A$600,DATE(2026,10,1),'[1]Class Roster'!$G$6:$G$600)</f>
        <v/>
      </c>
      <c r="K125" s="53" t="n"/>
      <c r="L125" s="53">
        <f>SUMIF('[1]Class Roster'!$A$6:$A$600,DATE(2026,10,2),'[1]Class Roster'!$G$6:$G$600)</f>
        <v/>
      </c>
      <c r="M125" s="53" t="n"/>
      <c r="N125" s="53">
        <f>SUMIF('[1]Class Roster'!$A$6:$A$600,DATE(2026,10,3),'[1]Class Roster'!$G$6:$G$600)</f>
        <v/>
      </c>
      <c r="O125" s="53" t="n"/>
      <c r="P125" s="76">
        <f>SUMIF('[1]Class Roster'!$A$6:$A$600,DATE(2026,10,4),'[1]Class Roster'!$G$6:$G$600)</f>
        <v/>
      </c>
      <c r="Q125" s="76" t="n"/>
      <c r="R125" s="53">
        <f>SUMIF('[1]Class Roster'!$A$6:$A$600,DATE(2026,10,5),'[1]Class Roster'!$G$6:$G$600)</f>
        <v/>
      </c>
      <c r="S125" s="53" t="n"/>
      <c r="T125" s="53">
        <f>SUMIF('[1]Class Roster'!$A$6:$A$600,DATE(2026,10,6),'[1]Class Roster'!$G$6:$G$600)</f>
        <v/>
      </c>
      <c r="U125" s="53" t="n"/>
      <c r="V125" s="53">
        <f>SUMIF('[1]Class Roster'!$A$6:$A$600,DATE(2026,10,7),'[1]Class Roster'!$G$6:$G$600)</f>
        <v/>
      </c>
      <c r="W125" s="53" t="n"/>
      <c r="X125" s="53">
        <f>SUMIF('[1]Class Roster'!$A$6:$A$600,DATE(2026,10,8),'[1]Class Roster'!$G$6:$G$600)</f>
        <v/>
      </c>
      <c r="Y125" s="53" t="n"/>
      <c r="Z125" s="53">
        <f>SUMIF('[1]Class Roster'!$A$6:$A$600,DATE(2026,10,9),'[1]Class Roster'!$G$6:$G$600)</f>
        <v/>
      </c>
      <c r="AA125" s="53" t="n"/>
      <c r="AB125" s="53">
        <f>SUMIF('[1]Class Roster'!$A$6:$A$600,DATE(2026,10,10),'[1]Class Roster'!$G$6:$G$600)</f>
        <v/>
      </c>
      <c r="AC125" s="53" t="n"/>
      <c r="AD125" s="76">
        <f>SUMIF('[1]Class Roster'!$A$6:$A$600,DATE(2026,10,11),'[1]Class Roster'!$G$6:$G$600)</f>
        <v/>
      </c>
      <c r="AE125" s="76" t="n"/>
      <c r="AF125" s="53">
        <f>SUMIF('[1]Class Roster'!$A$6:$A$600,DATE(2026,10,12),'[1]Class Roster'!$G$6:$G$600)</f>
        <v/>
      </c>
      <c r="AG125" s="53" t="n"/>
      <c r="AH125" s="53">
        <f>SUMIF('[1]Class Roster'!$A$6:$A$600,DATE(2026,10,13),'[1]Class Roster'!$G$6:$G$600)</f>
        <v/>
      </c>
      <c r="AI125" s="53" t="n"/>
      <c r="AJ125" s="53">
        <f>SUMIF('[1]Class Roster'!$A$6:$A$600,DATE(2026,10,14),'[1]Class Roster'!$G$6:$G$600)</f>
        <v/>
      </c>
      <c r="AK125" s="53" t="n"/>
      <c r="AL125" s="53">
        <f>SUMIF('[1]Class Roster'!$A$6:$A$600,DATE(2026,10,15),'[1]Class Roster'!$G$6:$G$600)</f>
        <v/>
      </c>
      <c r="AM125" s="53" t="n"/>
      <c r="AN125" s="53">
        <f>SUMIF('[1]Class Roster'!$A$6:$A$600,DATE(2026,10,16),'[1]Class Roster'!$G$6:$G$600)</f>
        <v/>
      </c>
      <c r="AO125" s="53" t="n"/>
      <c r="AP125" s="53">
        <f>SUMIF('[1]Class Roster'!$A$6:$A$600,DATE(2026,10,17),'[1]Class Roster'!$G$6:$G$600)</f>
        <v/>
      </c>
      <c r="AQ125" s="53" t="n"/>
      <c r="AR125" s="76">
        <f>SUMIF('[1]Class Roster'!$A$6:$A$600,DATE(2026,10,18),'[1]Class Roster'!$G$6:$G$600)</f>
        <v/>
      </c>
      <c r="AS125" s="76" t="n"/>
      <c r="AT125" s="53">
        <f>SUMIF('[1]Class Roster'!$A$6:$A$600,DATE(2026,10,19),'[1]Class Roster'!$G$6:$G$600)</f>
        <v/>
      </c>
      <c r="AU125" s="53" t="n"/>
      <c r="AV125" s="53">
        <f>SUMIF('[1]Class Roster'!$A$6:$A$600,DATE(2026,10,20),'[1]Class Roster'!$G$6:$G$600)</f>
        <v/>
      </c>
      <c r="AW125" s="53" t="n"/>
      <c r="AX125" s="53">
        <f>SUMIF('[1]Class Roster'!$A$6:$A$600,DATE(2026,10,21),'[1]Class Roster'!$G$6:$G$600)</f>
        <v/>
      </c>
      <c r="AY125" s="53" t="n"/>
      <c r="AZ125" s="53">
        <f>SUMIF('[1]Class Roster'!$A$6:$A$600,DATE(2026,10,22),'[1]Class Roster'!$G$6:$G$600)</f>
        <v/>
      </c>
      <c r="BA125" s="53" t="n"/>
      <c r="BB125" s="53">
        <f>SUMIF('[1]Class Roster'!$A$6:$A$600,DATE(2026,10,23),'[1]Class Roster'!$G$6:$G$600)</f>
        <v/>
      </c>
      <c r="BC125" s="53" t="n"/>
      <c r="BD125" s="53">
        <f>SUMIF('[1]Class Roster'!$A$6:$A$600,DATE(2026,10,24),'[1]Class Roster'!$G$6:$G$600)</f>
        <v/>
      </c>
      <c r="BE125" s="53" t="n"/>
      <c r="BF125" s="76">
        <f>SUMIF('[1]Class Roster'!$A$6:$A$600,DATE(2026,10,25),'[1]Class Roster'!$G$6:$G$600)</f>
        <v/>
      </c>
      <c r="BG125" s="76" t="n"/>
      <c r="BH125" s="53">
        <f>SUMIF('[1]Class Roster'!$A$6:$A$600,DATE(2026,10,26),'[1]Class Roster'!$G$6:$G$600)</f>
        <v/>
      </c>
      <c r="BI125" s="53" t="n"/>
      <c r="BJ125" s="53">
        <f>SUMIF('[1]Class Roster'!$A$6:$A$600,DATE(2026,10,27),'[1]Class Roster'!$G$6:$G$600)</f>
        <v/>
      </c>
      <c r="BK125" s="53" t="n"/>
      <c r="BL125" s="53">
        <f>SUMIF('[1]Class Roster'!$A$6:$A$600,DATE(2026,10,28),'[1]Class Roster'!$G$6:$G$600)</f>
        <v/>
      </c>
      <c r="BM125" s="53" t="n"/>
      <c r="BN125" s="53">
        <f>SUMIF('[1]Class Roster'!$A$6:$A$600,DATE(2026,10,29),'[1]Class Roster'!$G$6:$G$600)</f>
        <v/>
      </c>
      <c r="BO125" s="53" t="n"/>
      <c r="BP125" s="53">
        <f>SUMIF('[1]Class Roster'!$A$6:$A$600,DATE(2026,10,30),'[1]Class Roster'!$G$6:$G$600)</f>
        <v/>
      </c>
      <c r="BQ125" s="53" t="n"/>
      <c r="BR125" s="53">
        <f>SUMIF('[1]Class Roster'!$A$6:$A$600,DATE(2026,10,31),'[1]Class Roster'!$G$6:$G$600)</f>
        <v/>
      </c>
      <c r="BS125" s="53" t="n"/>
      <c r="BT125" s="53" t="n"/>
      <c r="BU125" s="53" t="n"/>
      <c r="BV125" s="53" t="n"/>
      <c r="BW125" s="53" t="n"/>
      <c r="BX125" s="53" t="n"/>
      <c r="BY125" s="53" t="n"/>
      <c r="BZ125" s="53" t="n"/>
    </row>
  </sheetData>
  <autoFilter ref="A1:BZ125">
    <sortState ref="A2:BZ125">
      <sortCondition ref="I1:I125"/>
    </sortState>
  </autoFilter>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153"/>
  <sheetViews>
    <sheetView workbookViewId="0">
      <pane ySplit="1" topLeftCell="A14" activePane="bottomLeft" state="frozen"/>
      <selection pane="bottomLeft" activeCell="A1" sqref="A1"/>
    </sheetView>
  </sheetViews>
  <sheetFormatPr baseColWidth="8" defaultRowHeight="13.2"/>
  <cols>
    <col width="5" customWidth="1" min="1" max="1"/>
    <col width="26" customWidth="1" min="2" max="2"/>
    <col width="11" customWidth="1" min="3" max="3"/>
    <col width="18" customWidth="1" min="4" max="4"/>
    <col width="30" customWidth="1" min="5" max="6"/>
    <col width="70" customWidth="1" min="7" max="7"/>
  </cols>
  <sheetData>
    <row r="1" ht="15" customHeight="1">
      <c r="A1" s="36" t="inlineStr">
        <is>
          <t>#</t>
        </is>
      </c>
      <c r="B1" s="36" t="inlineStr">
        <is>
          <t>Student</t>
        </is>
      </c>
      <c r="C1" s="36" t="inlineStr">
        <is>
          <t>Stud ID</t>
        </is>
      </c>
      <c r="D1" s="36" t="inlineStr">
        <is>
          <t>Action</t>
        </is>
      </c>
      <c r="E1" s="36" t="inlineStr">
        <is>
          <t>Before</t>
        </is>
      </c>
      <c r="F1" s="36" t="inlineStr">
        <is>
          <t>After</t>
        </is>
      </c>
      <c r="G1" s="36" t="inlineStr">
        <is>
          <t>Reason / approval</t>
        </is>
      </c>
    </row>
    <row r="2" ht="15" customHeight="1">
      <c r="A2" s="3" t="n">
        <v>1</v>
      </c>
      <c r="B2" s="3" t="inlineStr">
        <is>
          <t>Selvakrishna RK</t>
        </is>
      </c>
      <c r="C2" s="3" t="inlineStr">
        <is>
          <t>MKS00167</t>
        </is>
      </c>
      <c r="D2" s="3" t="inlineStr">
        <is>
          <t>Moved</t>
        </is>
      </c>
      <c r="E2" s="3" t="inlineStr">
        <is>
          <t>Oct 4 Sun 10:00 Arshath</t>
        </is>
      </c>
      <c r="F2" s="3" t="inlineStr">
        <is>
          <t>Oct 2 Fri 17:30 Arshath</t>
        </is>
      </c>
      <c r="G2" s="3" t="inlineStr">
        <is>
          <t>Approved: Fri 2 Int 2 tournament, all 7 non-individual Int 2 students (5.30 PM, Arshath); cannot attend Sunday with Limited batch</t>
        </is>
      </c>
    </row>
    <row r="3" ht="15" customHeight="1">
      <c r="A3" s="3" t="n">
        <v>2</v>
      </c>
      <c r="B3" s="3" t="inlineStr">
        <is>
          <t>Sarvin</t>
        </is>
      </c>
      <c r="C3" s="3" t="inlineStr">
        <is>
          <t>MKS00060</t>
        </is>
      </c>
      <c r="D3" s="3" t="inlineStr">
        <is>
          <t>Moved</t>
        </is>
      </c>
      <c r="E3" s="3" t="inlineStr">
        <is>
          <t>Oct 4 Sun 10:00 Arshath</t>
        </is>
      </c>
      <c r="F3" s="3" t="inlineStr">
        <is>
          <t>Oct 2 Fri 17:30 Arshath</t>
        </is>
      </c>
      <c r="G3" s="3" t="inlineStr">
        <is>
          <t>Approved: Fri 2 Int 2 tournament, all 7 non-individual Int 2 students (5.30 PM, Arshath); cannot attend Sunday with Limited batch</t>
        </is>
      </c>
    </row>
    <row r="4" ht="15" customHeight="1">
      <c r="A4" s="3" t="n">
        <v>3</v>
      </c>
      <c r="B4" s="3" t="inlineStr">
        <is>
          <t>YAASHVIN A/L SATEESHKUMAR</t>
        </is>
      </c>
      <c r="C4" s="3" t="inlineStr">
        <is>
          <t>MKS00065</t>
        </is>
      </c>
      <c r="D4" s="3" t="inlineStr">
        <is>
          <t>Moved</t>
        </is>
      </c>
      <c r="E4" s="3" t="inlineStr">
        <is>
          <t>Oct 4 Sun 10:00 Arshath</t>
        </is>
      </c>
      <c r="F4" s="3" t="inlineStr">
        <is>
          <t>Oct 2 Fri 17:30 Arshath</t>
        </is>
      </c>
      <c r="G4" s="3" t="inlineStr">
        <is>
          <t>Approved: Fri 2 Int 2 tournament, all 7 non-individual Int 2 students (5.30 PM, Arshath); cannot attend Sunday with Limited batch</t>
        </is>
      </c>
    </row>
    <row r="5" ht="15" customHeight="1">
      <c r="A5" s="3" t="n">
        <v>4</v>
      </c>
      <c r="B5" s="3" t="inlineStr">
        <is>
          <t>Krishiv Ajay</t>
        </is>
      </c>
      <c r="C5" s="3" t="inlineStr">
        <is>
          <t>MKS00037</t>
        </is>
      </c>
      <c r="D5" s="3" t="inlineStr">
        <is>
          <t>Moved</t>
        </is>
      </c>
      <c r="E5" s="3" t="inlineStr">
        <is>
          <t>Oct 2 Fri 17:00 Arshath</t>
        </is>
      </c>
      <c r="F5" s="3" t="inlineStr">
        <is>
          <t>Oct 2 Fri 17:30 Arshath</t>
        </is>
      </c>
      <c r="G5" s="3" t="inlineStr">
        <is>
          <t>Approved: Fri 2 Int 2 tournament, all 7 non-individual Int 2 students (5.30 PM, Arshath)</t>
        </is>
      </c>
    </row>
    <row r="6" ht="15" customHeight="1">
      <c r="A6" s="3" t="n">
        <v>5</v>
      </c>
      <c r="B6" s="3" t="inlineStr">
        <is>
          <t>Srikavi Bharathi</t>
        </is>
      </c>
      <c r="C6" s="3" t="inlineStr">
        <is>
          <t>MKS00045</t>
        </is>
      </c>
      <c r="D6" s="3" t="inlineStr">
        <is>
          <t>Moved</t>
        </is>
      </c>
      <c r="E6" s="3" t="inlineStr">
        <is>
          <t>Oct 2 Fri 17:00 Arshath</t>
        </is>
      </c>
      <c r="F6" s="3" t="inlineStr">
        <is>
          <t>Oct 2 Fri 17:30 Arshath</t>
        </is>
      </c>
      <c r="G6" s="3" t="inlineStr">
        <is>
          <t>Approved: Fri 2 Int 2 tournament, all 7 non-individual Int 2 students (5.30 PM, Arshath)</t>
        </is>
      </c>
    </row>
    <row r="7" ht="15" customHeight="1">
      <c r="A7" s="3" t="n">
        <v>6</v>
      </c>
      <c r="B7" s="3" t="inlineStr">
        <is>
          <t>Sachin</t>
        </is>
      </c>
      <c r="C7" s="3" t="inlineStr">
        <is>
          <t>MKS00059</t>
        </is>
      </c>
      <c r="D7" s="3" t="inlineStr">
        <is>
          <t>Moved</t>
        </is>
      </c>
      <c r="E7" s="3" t="inlineStr">
        <is>
          <t>Oct 2 Fri 17:00 Arshath</t>
        </is>
      </c>
      <c r="F7" s="3" t="inlineStr">
        <is>
          <t>Oct 2 Fri 17:30 Arshath</t>
        </is>
      </c>
      <c r="G7" s="3" t="inlineStr">
        <is>
          <t>Approved: Fri 2 Int 2 tournament, all 7 non-individual Int 2 students (5.30 PM, Arshath)</t>
        </is>
      </c>
    </row>
    <row r="8" ht="15" customHeight="1">
      <c r="A8" s="3" t="n">
        <v>7</v>
      </c>
      <c r="B8" s="3" t="inlineStr">
        <is>
          <t>Vivaan Aaditya</t>
        </is>
      </c>
      <c r="C8" s="3" t="inlineStr">
        <is>
          <t>MKS00053</t>
        </is>
      </c>
      <c r="D8" s="3" t="inlineStr">
        <is>
          <t>Moved</t>
        </is>
      </c>
      <c r="E8" s="3" t="inlineStr">
        <is>
          <t>Oct 2 Fri 17:00 Arshath</t>
        </is>
      </c>
      <c r="F8" s="3" t="inlineStr">
        <is>
          <t>Oct 2 Fri 17:30 Arshath</t>
        </is>
      </c>
      <c r="G8" s="3" t="inlineStr">
        <is>
          <t>Approved: Fri 2 Int 2 tournament, all 7 non-individual Int 2 students (5.30 PM, Arshath)</t>
        </is>
      </c>
    </row>
    <row r="9" ht="15" customHeight="1">
      <c r="A9" s="3" t="n">
        <v>8</v>
      </c>
      <c r="B9" s="3" t="inlineStr">
        <is>
          <t>Nithesh Nagarathinam</t>
        </is>
      </c>
      <c r="C9" s="3" t="inlineStr">
        <is>
          <t>MKS00054</t>
        </is>
      </c>
      <c r="D9" s="3" t="inlineStr">
        <is>
          <t>Moved</t>
        </is>
      </c>
      <c r="E9" s="3" t="inlineStr">
        <is>
          <t>Oct 1 Thu 18:00 Dhaanush</t>
        </is>
      </c>
      <c r="F9" s="3" t="inlineStr">
        <is>
          <t>Oct 1 Thu 18:00 Arshath</t>
        </is>
      </c>
      <c r="G9" s="3" t="inlineStr">
        <is>
          <t>Level now Intermediate 1, cannot sit with Early Int 1 students (Rohith, Kavinpriyan); 6 PM only; new Limited batch (1 student). Trainer suggested - please confirm</t>
        </is>
      </c>
    </row>
    <row r="10" ht="15" customHeight="1">
      <c r="A10" s="3" t="n">
        <v>9</v>
      </c>
      <c r="B10" s="3" t="inlineStr">
        <is>
          <t>Kavinpriyan</t>
        </is>
      </c>
      <c r="C10" s="3" t="inlineStr">
        <is>
          <t>MKS00023</t>
        </is>
      </c>
      <c r="D10" s="3" t="inlineStr">
        <is>
          <t>Resolved - no change</t>
        </is>
      </c>
      <c r="E10" s="3" t="inlineStr">
        <is>
          <t>Oct 1 Thu 18:00 Dhaanush</t>
        </is>
      </c>
      <c r="F10" s="3" t="inlineStr">
        <is>
          <t>Same slot kept</t>
        </is>
      </c>
      <c r="G10" s="3" t="inlineStr">
        <is>
          <t>Thu 1 batch now only Early Int 1 students after Nithesh left</t>
        </is>
      </c>
    </row>
    <row r="11" ht="15" customHeight="1">
      <c r="A11" s="3" t="n">
        <v>10</v>
      </c>
      <c r="B11" s="3" t="inlineStr">
        <is>
          <t>Rohith kumar.B</t>
        </is>
      </c>
      <c r="C11" s="3" t="inlineStr">
        <is>
          <t>MKS00207</t>
        </is>
      </c>
      <c r="D11" s="3" t="inlineStr">
        <is>
          <t>Resolved - no change</t>
        </is>
      </c>
      <c r="E11" s="3" t="inlineStr">
        <is>
          <t>Oct 1 Thu 18:00 Dhaanush</t>
        </is>
      </c>
      <c r="F11" s="3" t="inlineStr">
        <is>
          <t>Same slot kept</t>
        </is>
      </c>
      <c r="G11" s="3" t="inlineStr">
        <is>
          <t>Thu 1 6 PM batch valid now that Nithesh (Int 1) has left</t>
        </is>
      </c>
    </row>
    <row r="12" ht="15" customHeight="1">
      <c r="A12" s="3" t="n">
        <v>11</v>
      </c>
      <c r="B12" s="3" t="inlineStr">
        <is>
          <t>Rohith kumar.B</t>
        </is>
      </c>
      <c r="C12" s="3" t="inlineStr">
        <is>
          <t>MKS00207</t>
        </is>
      </c>
      <c r="D12" s="3" t="inlineStr">
        <is>
          <t>Moved</t>
        </is>
      </c>
      <c r="E12" s="3" t="inlineStr">
        <is>
          <t>Oct 5 Mon 06:00 Prakash</t>
        </is>
      </c>
      <c r="F12" s="3" t="inlineStr">
        <is>
          <t>Oct 5 Mon 18:00 Prakash</t>
        </is>
      </c>
      <c r="G12" s="3" t="inlineStr">
        <is>
          <t>Rohith available only 5/6 PM; treated as Beginner 2 / Early Int 1 per instruction</t>
        </is>
      </c>
    </row>
    <row r="13" ht="15" customHeight="1">
      <c r="A13" s="3" t="n">
        <v>12</v>
      </c>
      <c r="B13" s="3" t="inlineStr">
        <is>
          <t>Rohith kumar.B</t>
        </is>
      </c>
      <c r="C13" s="3" t="inlineStr">
        <is>
          <t>MKS00207</t>
        </is>
      </c>
      <c r="D13" s="3" t="inlineStr">
        <is>
          <t>Moved</t>
        </is>
      </c>
      <c r="E13" s="3" t="inlineStr">
        <is>
          <t>Oct 30 Fri 20:00 Dhaanush</t>
        </is>
      </c>
      <c r="F13" s="3" t="inlineStr">
        <is>
          <t>Oct 27 Tue 18:00 Prakash</t>
        </is>
      </c>
      <c r="G13" s="3" t="inlineStr">
        <is>
          <t>Rohith available only 5/6 PM; replaced Fri 30 8 PM with Tue 27 6 PM (same week bucket)</t>
        </is>
      </c>
    </row>
    <row r="14" ht="15" customHeight="1">
      <c r="A14" s="3" t="n">
        <v>13</v>
      </c>
      <c r="B14" s="3" t="inlineStr">
        <is>
          <t>Bhavadharani.B</t>
        </is>
      </c>
      <c r="C14" s="3" t="inlineStr">
        <is>
          <t>MKS00203</t>
        </is>
      </c>
      <c r="D14" s="3" t="inlineStr">
        <is>
          <t>Resolved - no change</t>
        </is>
      </c>
      <c r="E14" s="3" t="inlineStr">
        <is>
          <t>Oct 1 Thu 20:00 Bathri</t>
        </is>
      </c>
      <c r="F14" s="3" t="inlineStr">
        <is>
          <t>Same slot kept</t>
        </is>
      </c>
      <c r="G14" s="3" t="inlineStr">
        <is>
          <t>Bhavadharani now available 7 PM and 8 PM on weekdays</t>
        </is>
      </c>
    </row>
    <row r="15" ht="15" customHeight="1">
      <c r="A15" s="3" t="n">
        <v>14</v>
      </c>
      <c r="B15" s="3" t="inlineStr">
        <is>
          <t>Bhavadharani.B</t>
        </is>
      </c>
      <c r="C15" s="3" t="inlineStr">
        <is>
          <t>MKS00203</t>
        </is>
      </c>
      <c r="D15" s="3" t="inlineStr">
        <is>
          <t>Resolved - no change</t>
        </is>
      </c>
      <c r="E15" s="3" t="inlineStr">
        <is>
          <t>Oct 6 Tue 20:00 Abinaya</t>
        </is>
      </c>
      <c r="F15" s="3" t="inlineStr">
        <is>
          <t>Same slot kept</t>
        </is>
      </c>
      <c r="G15" s="3" t="inlineStr">
        <is>
          <t>Bhavadharani now available 7 PM and 8 PM on weekdays</t>
        </is>
      </c>
    </row>
    <row r="16" ht="15" customHeight="1">
      <c r="A16" s="3" t="n">
        <v>15</v>
      </c>
      <c r="B16" s="3" t="inlineStr">
        <is>
          <t>A R Thatchiraa Shree</t>
        </is>
      </c>
      <c r="C16" s="3" t="inlineStr">
        <is>
          <t>MKS00172</t>
        </is>
      </c>
      <c r="D16" s="3" t="inlineStr">
        <is>
          <t>Moved</t>
        </is>
      </c>
      <c r="E16" s="3" t="inlineStr">
        <is>
          <t>Oct 1 Thu 20:00 Bathri</t>
        </is>
      </c>
      <c r="F16" s="3" t="inlineStr">
        <is>
          <t>Oct 3 Sat 20:00 Guru</t>
        </is>
      </c>
      <c r="G16" s="3" t="inlineStr">
        <is>
          <t>Approved: Thatchirasree available Fri 7 PM, Sat 6-9 PM, Sun</t>
        </is>
      </c>
    </row>
    <row r="17" ht="15" customHeight="1">
      <c r="A17" s="3" t="n">
        <v>16</v>
      </c>
      <c r="B17" s="3" t="inlineStr">
        <is>
          <t>Kamesh kumar c</t>
        </is>
      </c>
      <c r="C17" s="3" t="inlineStr">
        <is>
          <t>MKS00231</t>
        </is>
      </c>
      <c r="D17" s="3" t="inlineStr">
        <is>
          <t>Moved</t>
        </is>
      </c>
      <c r="E17" s="3" t="inlineStr">
        <is>
          <t>Oct 12 Mon 18:00 Dhaanush</t>
        </is>
      </c>
      <c r="F17" s="3" t="inlineStr">
        <is>
          <t>Oct 13 Tue 19:00 Dhaanush</t>
        </is>
      </c>
      <c r="G17" s="3" t="inlineStr">
        <is>
          <t>Approved: Tue 13 7 PM with Dhaanush (Kamesh only 7/8 PM weekdays)</t>
        </is>
      </c>
    </row>
    <row r="18" ht="15" customHeight="1">
      <c r="A18" s="3" t="n">
        <v>17</v>
      </c>
      <c r="B18" s="3" t="inlineStr">
        <is>
          <t>H V Kanishk</t>
        </is>
      </c>
      <c r="C18" s="3" t="inlineStr">
        <is>
          <t>MKS00154</t>
        </is>
      </c>
      <c r="D18" s="3" t="inlineStr">
        <is>
          <t>Moved</t>
        </is>
      </c>
      <c r="E18" s="3" t="inlineStr">
        <is>
          <t>Oct 14 Wed 06:00 Bathri</t>
        </is>
      </c>
      <c r="F18" s="3" t="inlineStr">
        <is>
          <t>Oct 10 Sat 20:00 Guru</t>
        </is>
      </c>
      <c r="G18" s="3" t="inlineStr">
        <is>
          <t>Kanishk available Fri/Sat/Sun only; matched to the Thatchirasree Saturday 8 PM slot (her Sat 10 Bathri batch is full at 8)</t>
        </is>
      </c>
    </row>
    <row r="19" ht="15" customHeight="1">
      <c r="A19" s="3" t="n">
        <v>18</v>
      </c>
      <c r="B19" s="3" t="inlineStr">
        <is>
          <t>S Mounitha</t>
        </is>
      </c>
      <c r="C19" s="3" t="inlineStr">
        <is>
          <t>MKS00226</t>
        </is>
      </c>
      <c r="D19" s="3" t="inlineStr">
        <is>
          <t>Moved</t>
        </is>
      </c>
      <c r="E19" s="3" t="inlineStr">
        <is>
          <t>Oct 5 Mon 19:00 Manikandan</t>
        </is>
      </c>
      <c r="F19" s="3" t="inlineStr">
        <is>
          <t>Oct 5 Mon 19:00 Arshath</t>
        </is>
      </c>
      <c r="G19" s="3" t="inlineStr">
        <is>
          <t>Manikandan not available at 7 PM; same time with Arshath (free). Trainer suggested - please confirm</t>
        </is>
      </c>
    </row>
    <row r="20" ht="15" customHeight="1">
      <c r="A20" s="3" t="n">
        <v>19</v>
      </c>
      <c r="B20" s="3" t="inlineStr">
        <is>
          <t>S Mounitha</t>
        </is>
      </c>
      <c r="C20" s="3" t="inlineStr">
        <is>
          <t>MKS00226</t>
        </is>
      </c>
      <c r="D20" s="3" t="inlineStr">
        <is>
          <t>Moved</t>
        </is>
      </c>
      <c r="E20" s="3" t="inlineStr">
        <is>
          <t>Oct 7 Wed 19:00 Manikandan</t>
        </is>
      </c>
      <c r="F20" s="3" t="inlineStr">
        <is>
          <t>Oct 7 Wed 19:00 Arshath</t>
        </is>
      </c>
      <c r="G20" s="3" t="inlineStr">
        <is>
          <t>Manikandan not available at 7 PM; same time with Arshath (free). Trainer suggested - please confirm</t>
        </is>
      </c>
    </row>
    <row r="21" ht="15" customHeight="1">
      <c r="A21" s="3" t="n">
        <v>20</v>
      </c>
      <c r="B21" s="3" t="inlineStr">
        <is>
          <t>S Mounitha</t>
        </is>
      </c>
      <c r="C21" s="3" t="inlineStr">
        <is>
          <t>MKS00226</t>
        </is>
      </c>
      <c r="D21" s="3" t="inlineStr">
        <is>
          <t>Moved</t>
        </is>
      </c>
      <c r="E21" s="3" t="inlineStr">
        <is>
          <t>Oct 12 Mon 19:00 Manikandan</t>
        </is>
      </c>
      <c r="F21" s="3" t="inlineStr">
        <is>
          <t>Oct 12 Mon 19:00 Arshath</t>
        </is>
      </c>
      <c r="G21" s="3" t="inlineStr">
        <is>
          <t>Manikandan not available at 7 PM; same time with Arshath (free). Trainer suggested - please confirm</t>
        </is>
      </c>
    </row>
    <row r="22" ht="15" customHeight="1">
      <c r="A22" s="3" t="n">
        <v>21</v>
      </c>
      <c r="B22" s="3" t="inlineStr">
        <is>
          <t>Aaradheya P</t>
        </is>
      </c>
      <c r="C22" s="3" t="inlineStr">
        <is>
          <t>MKS00225</t>
        </is>
      </c>
      <c r="D22" s="3" t="inlineStr">
        <is>
          <t>Moved</t>
        </is>
      </c>
      <c r="E22" s="3" t="inlineStr">
        <is>
          <t>Oct 3 Sat 10:00 Abinaya</t>
        </is>
      </c>
      <c r="F22" s="3" t="inlineStr">
        <is>
          <t>Oct 3 Sat 17:00 Abinaya</t>
        </is>
      </c>
      <c r="G22" s="3" t="inlineStr">
        <is>
          <t>Approved: new Basic 1 Limited batch Sat 3 5 PM (Aaradheya + Chanvika); Basic 1 and Basic 2 separated</t>
        </is>
      </c>
    </row>
    <row r="23" ht="15" customHeight="1">
      <c r="A23" s="3" t="n">
        <v>22</v>
      </c>
      <c r="B23" s="3" t="inlineStr">
        <is>
          <t>Aaradheya P</t>
        </is>
      </c>
      <c r="C23" s="3" t="inlineStr">
        <is>
          <t>MKS00225</t>
        </is>
      </c>
      <c r="D23" s="3" t="inlineStr">
        <is>
          <t>Moved</t>
        </is>
      </c>
      <c r="E23" s="3" t="inlineStr">
        <is>
          <t>Oct 10 Sat 10:00 Abinaya</t>
        </is>
      </c>
      <c r="F23" s="3" t="inlineStr">
        <is>
          <t>Oct 10 Sat 17:00 Abinaya</t>
        </is>
      </c>
      <c r="G23" s="3" t="inlineStr">
        <is>
          <t>Sat 10 AM slot fixed for Aadhav Mithun; Basic batch moved off 10:00</t>
        </is>
      </c>
    </row>
    <row r="24" ht="15" customHeight="1">
      <c r="A24" s="3" t="n">
        <v>23</v>
      </c>
      <c r="B24" s="3" t="inlineStr">
        <is>
          <t>C.V.Chanvika</t>
        </is>
      </c>
      <c r="C24" s="3" t="inlineStr">
        <is>
          <t>MKS00196</t>
        </is>
      </c>
      <c r="D24" s="3" t="inlineStr">
        <is>
          <t>Moved</t>
        </is>
      </c>
      <c r="E24" s="3" t="inlineStr">
        <is>
          <t>Oct 3 Sat 10:00 Abinaya</t>
        </is>
      </c>
      <c r="F24" s="3" t="inlineStr">
        <is>
          <t>Oct 3 Sat 17:00 Abinaya</t>
        </is>
      </c>
      <c r="G24" s="3" t="inlineStr">
        <is>
          <t>Approved: new Basic 1 Limited batch Sat 3 5 PM</t>
        </is>
      </c>
    </row>
    <row r="25" ht="15" customHeight="1">
      <c r="A25" s="3" t="n">
        <v>24</v>
      </c>
      <c r="B25" s="3" t="inlineStr">
        <is>
          <t>B.SAI SRI</t>
        </is>
      </c>
      <c r="C25" s="3" t="inlineStr">
        <is>
          <t>MKS00211</t>
        </is>
      </c>
      <c r="D25" s="3" t="inlineStr">
        <is>
          <t>Moved</t>
        </is>
      </c>
      <c r="E25" s="3" t="inlineStr">
        <is>
          <t>Oct 3 Sat 10:00 Abinaya</t>
        </is>
      </c>
      <c r="F25" s="3" t="inlineStr">
        <is>
          <t>Oct 3 Sat 17:00 Bathri</t>
        </is>
      </c>
      <c r="G25" s="3" t="inlineStr">
        <is>
          <t>Approved: Sat 3 5 PM Bathri Limited batch with Jovinya and Kavisree (3 students)</t>
        </is>
      </c>
    </row>
    <row r="26" ht="15" customHeight="1">
      <c r="A26" s="3" t="n">
        <v>25</v>
      </c>
      <c r="B26" s="3" t="inlineStr">
        <is>
          <t>B.SAI SRI</t>
        </is>
      </c>
      <c r="C26" s="3" t="inlineStr">
        <is>
          <t>MKS00211</t>
        </is>
      </c>
      <c r="D26" s="3" t="inlineStr">
        <is>
          <t>Moved</t>
        </is>
      </c>
      <c r="E26" s="3" t="inlineStr">
        <is>
          <t>Oct 10 Sat 10:00 Abinaya</t>
        </is>
      </c>
      <c r="F26" s="3" t="inlineStr">
        <is>
          <t>Oct 10 Sat 17:00 Bathri</t>
        </is>
      </c>
      <c r="G26" s="3" t="inlineStr">
        <is>
          <t>Sat 10 AM slot fixed for Aadhav Mithun; same Sat 5 PM Bathri Limited batch (3 students)</t>
        </is>
      </c>
    </row>
    <row r="27" ht="15" customHeight="1">
      <c r="A27" s="3" t="n">
        <v>26</v>
      </c>
      <c r="B27" s="3" t="inlineStr">
        <is>
          <t>J Jerwin</t>
        </is>
      </c>
      <c r="C27" s="3" t="inlineStr">
        <is>
          <t>MKS00230</t>
        </is>
      </c>
      <c r="D27" s="3" t="inlineStr">
        <is>
          <t>Moved</t>
        </is>
      </c>
      <c r="E27" s="3" t="inlineStr">
        <is>
          <t>Oct 2 Fri 19:00 Abinaya</t>
        </is>
      </c>
      <c r="F27" s="3" t="inlineStr">
        <is>
          <t>Oct 1 Thu 20:00 Abinaya</t>
        </is>
      </c>
      <c r="G27" s="3" t="inlineStr">
        <is>
          <t>Approved: Jerwin (Basic 2) separated from Aaradheya (Basic 1)</t>
        </is>
      </c>
    </row>
    <row r="28" ht="15" customHeight="1">
      <c r="A28" s="3" t="n">
        <v>27</v>
      </c>
      <c r="B28" s="3" t="inlineStr">
        <is>
          <t>Dev dharsan</t>
        </is>
      </c>
      <c r="C28" s="3" t="inlineStr">
        <is>
          <t>MKS00142</t>
        </is>
      </c>
      <c r="D28" s="3" t="inlineStr">
        <is>
          <t>Moved</t>
        </is>
      </c>
      <c r="E28" s="3" t="inlineStr">
        <is>
          <t>Oct 2 Fri 20:00 Bathri</t>
        </is>
      </c>
      <c r="F28" s="3" t="inlineStr">
        <is>
          <t>Oct 2 Fri 20:00 Manikandan</t>
        </is>
      </c>
      <c r="G28" s="3" t="inlineStr">
        <is>
          <t>Approved: new Limited batch Fri 2 8 PM, coach preference Manikandan</t>
        </is>
      </c>
    </row>
    <row r="29" ht="15" customHeight="1">
      <c r="A29" s="3" t="n">
        <v>28</v>
      </c>
      <c r="B29" s="3" t="inlineStr">
        <is>
          <t>M VARUNESH PANDI</t>
        </is>
      </c>
      <c r="C29" s="3" t="inlineStr">
        <is>
          <t>MKS00166</t>
        </is>
      </c>
      <c r="D29" s="3" t="inlineStr">
        <is>
          <t>Moved</t>
        </is>
      </c>
      <c r="E29" s="3" t="inlineStr">
        <is>
          <t>Oct 3 Sat 21:00 Bathri</t>
        </is>
      </c>
      <c r="F29" s="3" t="inlineStr">
        <is>
          <t>Oct 2 Fri 20:00 Manikandan</t>
        </is>
      </c>
      <c r="G29" s="3" t="inlineStr">
        <is>
          <t>Joined Dev Dharsan Limited batch (2 students); weekday 8 PM only, coach pref Manikandan</t>
        </is>
      </c>
    </row>
    <row r="30" ht="15" customHeight="1">
      <c r="A30" s="3" t="n">
        <v>29</v>
      </c>
      <c r="B30" s="3" t="inlineStr">
        <is>
          <t>M Nethran</t>
        </is>
      </c>
      <c r="C30" s="3" t="inlineStr">
        <is>
          <t>MKS00020</t>
        </is>
      </c>
      <c r="D30" s="3" t="inlineStr">
        <is>
          <t>Moved</t>
        </is>
      </c>
      <c r="E30" s="3" t="inlineStr">
        <is>
          <t>Oct 4 Sun 10:00 Dhaanush</t>
        </is>
      </c>
      <c r="F30" s="3" t="inlineStr">
        <is>
          <t>Oct 4 Sun 11:00 Arshath</t>
        </is>
      </c>
      <c r="G30" s="3" t="inlineStr">
        <is>
          <t>Approved: new Early Int 1 Sunday tournament Sun 4 11 AM</t>
        </is>
      </c>
    </row>
    <row r="31" ht="15" customHeight="1">
      <c r="A31" s="3" t="n">
        <v>30</v>
      </c>
      <c r="B31" s="3" t="inlineStr">
        <is>
          <t>Oviya B</t>
        </is>
      </c>
      <c r="C31" s="3" t="inlineStr">
        <is>
          <t>MKS00038</t>
        </is>
      </c>
      <c r="D31" s="3" t="inlineStr">
        <is>
          <t>Moved</t>
        </is>
      </c>
      <c r="E31" s="3" t="inlineStr">
        <is>
          <t>Oct 4 Sun 13:00 Abinaya</t>
        </is>
      </c>
      <c r="F31" s="3" t="inlineStr">
        <is>
          <t>Oct 4 Sun 11:00 Arshath</t>
        </is>
      </c>
      <c r="G31" s="3" t="inlineStr">
        <is>
          <t>Approved: new Early Int 1 Sunday tournament Sun 4 11 AM (not combined with Beginner 1)</t>
        </is>
      </c>
    </row>
    <row r="32" ht="15" customHeight="1">
      <c r="A32" s="3" t="n">
        <v>31</v>
      </c>
      <c r="B32" s="3" t="inlineStr">
        <is>
          <t>M Nethran</t>
        </is>
      </c>
      <c r="C32" s="3" t="inlineStr">
        <is>
          <t>MKS00020</t>
        </is>
      </c>
      <c r="D32" s="3" t="inlineStr">
        <is>
          <t>Moved</t>
        </is>
      </c>
      <c r="E32" s="3" t="inlineStr">
        <is>
          <t>Oct 8 Thu 18:00 Dhaanush</t>
        </is>
      </c>
      <c r="F32" s="3" t="inlineStr">
        <is>
          <t>Oct 11 Sun 10:00 Abinaya</t>
        </is>
      </c>
      <c r="G32" s="3" t="inlineStr">
        <is>
          <t>Weekday 8 PM only: Thu 8 6 PM replaced by Sun 11 10 AM Early Int tournament (same week). Please confirm</t>
        </is>
      </c>
    </row>
    <row r="33" ht="15" customHeight="1">
      <c r="A33" s="3" t="n">
        <v>32</v>
      </c>
      <c r="B33" s="3" t="inlineStr">
        <is>
          <t>D R RAJAGOPALAN</t>
        </is>
      </c>
      <c r="C33" s="3" t="inlineStr">
        <is>
          <t>MKS00176</t>
        </is>
      </c>
      <c r="D33" s="3" t="inlineStr">
        <is>
          <t>Moved</t>
        </is>
      </c>
      <c r="E33" s="3" t="inlineStr">
        <is>
          <t>Oct 4 Sun 10:00 Manikandan</t>
        </is>
      </c>
      <c r="F33" s="3" t="inlineStr">
        <is>
          <t>Oct 4 Sun 11:00 Abinaya</t>
        </is>
      </c>
      <c r="G33" s="3" t="inlineStr">
        <is>
          <t>Approved: Sun 4 11 AM tournament</t>
        </is>
      </c>
    </row>
    <row r="34" ht="15" customHeight="1">
      <c r="A34" s="3" t="n">
        <v>33</v>
      </c>
      <c r="B34" s="3" t="inlineStr">
        <is>
          <t>D R RAJAGOPALAN</t>
        </is>
      </c>
      <c r="C34" s="3" t="inlineStr">
        <is>
          <t>MKS00176</t>
        </is>
      </c>
      <c r="D34" s="3" t="inlineStr">
        <is>
          <t>Moved</t>
        </is>
      </c>
      <c r="E34" s="3" t="inlineStr">
        <is>
          <t>Oct 21 Wed 06:00 Bathri</t>
        </is>
      </c>
      <c r="F34" s="3" t="inlineStr">
        <is>
          <t>Oct 20 Tue 20:00 Bathri</t>
        </is>
      </c>
      <c r="G34" s="3" t="inlineStr">
        <is>
          <t>Wed 21 Abinaya not approved; after 8 PM class on Tue 20 with Bathri Beginner 1 group (same week)</t>
        </is>
      </c>
    </row>
    <row r="35" ht="15" customHeight="1">
      <c r="A35" s="3" t="n">
        <v>34</v>
      </c>
      <c r="B35" s="3" t="inlineStr">
        <is>
          <t>Nirupan</t>
        </is>
      </c>
      <c r="C35" s="3" t="inlineStr">
        <is>
          <t>MKS00185</t>
        </is>
      </c>
      <c r="D35" s="3" t="inlineStr">
        <is>
          <t>Moved</t>
        </is>
      </c>
      <c r="E35" s="3" t="inlineStr">
        <is>
          <t>Oct 4 Sun 10:00 Abinaya</t>
        </is>
      </c>
      <c r="F35" s="3" t="inlineStr">
        <is>
          <t>Oct 4 Sun 11:00 Abinaya</t>
        </is>
      </c>
      <c r="G35" s="3" t="inlineStr">
        <is>
          <t>Approved: Beginner 1 tournament Sun 4 11 AM</t>
        </is>
      </c>
    </row>
    <row r="36" ht="15" customHeight="1">
      <c r="A36" s="3" t="n">
        <v>35</v>
      </c>
      <c r="B36" s="3" t="inlineStr">
        <is>
          <t>Jovinya</t>
        </is>
      </c>
      <c r="C36" s="3" t="inlineStr">
        <is>
          <t>MKS00075</t>
        </is>
      </c>
      <c r="D36" s="3" t="inlineStr">
        <is>
          <t>Moved</t>
        </is>
      </c>
      <c r="E36" s="3" t="inlineStr">
        <is>
          <t>Oct 4 Sun 13:00 Abinaya</t>
        </is>
      </c>
      <c r="F36" s="3" t="inlineStr">
        <is>
          <t>Oct 4 Sun 13:30 Abinaya</t>
        </is>
      </c>
      <c r="G36" s="3" t="inlineStr">
        <is>
          <t>Approved: Sun 4 1:30 PM Beginner 1 tournament</t>
        </is>
      </c>
    </row>
    <row r="37" ht="15" customHeight="1">
      <c r="A37" s="3" t="n">
        <v>36</v>
      </c>
      <c r="B37" s="3" t="inlineStr">
        <is>
          <t>S.V.Kavisree</t>
        </is>
      </c>
      <c r="C37" s="3" t="inlineStr">
        <is>
          <t>MKS00111</t>
        </is>
      </c>
      <c r="D37" s="3" t="inlineStr">
        <is>
          <t>Moved</t>
        </is>
      </c>
      <c r="E37" s="3" t="inlineStr">
        <is>
          <t>Oct 4 Sun 13:00 Abinaya</t>
        </is>
      </c>
      <c r="F37" s="3" t="inlineStr">
        <is>
          <t>Oct 4 Sun 13:30 Abinaya</t>
        </is>
      </c>
      <c r="G37" s="3" t="inlineStr">
        <is>
          <t>Approved: Sun 4 1:30 PM Beginner 1 tournament</t>
        </is>
      </c>
    </row>
    <row r="38" ht="15" customHeight="1">
      <c r="A38" s="3" t="n">
        <v>37</v>
      </c>
      <c r="B38" s="3" t="inlineStr">
        <is>
          <t>Akshadhasree</t>
        </is>
      </c>
      <c r="C38" s="3" t="inlineStr">
        <is>
          <t>MKS00067</t>
        </is>
      </c>
      <c r="D38" s="3" t="inlineStr">
        <is>
          <t>Moved</t>
        </is>
      </c>
      <c r="E38" s="3" t="inlineStr">
        <is>
          <t>Oct 4 Sun 13:00 Abinaya</t>
        </is>
      </c>
      <c r="F38" s="3" t="inlineStr">
        <is>
          <t>Oct 4 Sun 13:30 Abinaya</t>
        </is>
      </c>
      <c r="G38" s="3" t="inlineStr">
        <is>
          <t>Approved: Sun 4 1:30 PM Beginner 1 tournament</t>
        </is>
      </c>
    </row>
    <row r="39" ht="15" customHeight="1">
      <c r="A39" s="3" t="n">
        <v>38</v>
      </c>
      <c r="B39" s="3" t="inlineStr">
        <is>
          <t>Anikha</t>
        </is>
      </c>
      <c r="C39" s="3" t="inlineStr">
        <is>
          <t>MKS00066</t>
        </is>
      </c>
      <c r="D39" s="3" t="inlineStr">
        <is>
          <t>Moved</t>
        </is>
      </c>
      <c r="E39" s="3" t="inlineStr">
        <is>
          <t>Oct 4 Sun 13:00 Abinaya</t>
        </is>
      </c>
      <c r="F39" s="3" t="inlineStr">
        <is>
          <t>Oct 4 Sun 13:30 Abinaya</t>
        </is>
      </c>
      <c r="G39" s="3" t="inlineStr">
        <is>
          <t>Approved: Sun 4 1:30 PM Beginner 1 tournament</t>
        </is>
      </c>
    </row>
    <row r="40" ht="15" customHeight="1">
      <c r="A40" s="3" t="n">
        <v>39</v>
      </c>
      <c r="B40" s="3" t="inlineStr">
        <is>
          <t>Madesh</t>
        </is>
      </c>
      <c r="C40" s="3" t="inlineStr">
        <is>
          <t>MKS00194</t>
        </is>
      </c>
      <c r="D40" s="3" t="inlineStr">
        <is>
          <t>Moved</t>
        </is>
      </c>
      <c r="E40" s="3" t="inlineStr">
        <is>
          <t>Oct 5 Mon 06:00 Prakash</t>
        </is>
      </c>
      <c r="F40" s="3" t="inlineStr">
        <is>
          <t>Oct 5 Mon 19:00 Prakash</t>
        </is>
      </c>
      <c r="G40" s="3" t="inlineStr">
        <is>
          <t>Approved: evening only; Mon 5 7 PM Limited batch with Sri Dharshini</t>
        </is>
      </c>
    </row>
    <row r="41" ht="15" customHeight="1">
      <c r="A41" s="3" t="n">
        <v>40</v>
      </c>
      <c r="B41" s="3" t="inlineStr">
        <is>
          <t>B.AARAV NARAYAN</t>
        </is>
      </c>
      <c r="C41" s="3" t="inlineStr">
        <is>
          <t>MKS00098</t>
        </is>
      </c>
      <c r="D41" s="3" t="inlineStr">
        <is>
          <t>Moved</t>
        </is>
      </c>
      <c r="E41" s="3" t="inlineStr">
        <is>
          <t>Oct 5 Mon 06:00 Prakash</t>
        </is>
      </c>
      <c r="F41" s="3" t="inlineStr">
        <is>
          <t>Oct 5 Mon 19:00 Prakash</t>
        </is>
      </c>
      <c r="G41" s="3" t="inlineStr">
        <is>
          <t>Approved: evening only; Mon 5 7 PM Limited batch with Sri Dharshini</t>
        </is>
      </c>
    </row>
    <row r="42" ht="15" customHeight="1">
      <c r="A42" s="3" t="n">
        <v>41</v>
      </c>
      <c r="B42" s="3" t="inlineStr">
        <is>
          <t>N.sri dharshni</t>
        </is>
      </c>
      <c r="C42" s="3" t="inlineStr">
        <is>
          <t>MKS00055</t>
        </is>
      </c>
      <c r="D42" s="3" t="inlineStr">
        <is>
          <t>Moved</t>
        </is>
      </c>
      <c r="E42" s="3" t="inlineStr">
        <is>
          <t>Oct 3 Sat 21:00 Bathri</t>
        </is>
      </c>
      <c r="F42" s="3" t="inlineStr">
        <is>
          <t>Oct 6 Tue 19:00 Prakash</t>
        </is>
      </c>
      <c r="G42" s="3" t="inlineStr">
        <is>
          <t>Approved: Tue 7 PM Limited batch with Madesh and Aarav (3 students)</t>
        </is>
      </c>
    </row>
    <row r="43" ht="15" customHeight="1">
      <c r="A43" s="3" t="n">
        <v>42</v>
      </c>
      <c r="B43" s="3" t="inlineStr">
        <is>
          <t>N.sri dharshni</t>
        </is>
      </c>
      <c r="C43" s="3" t="inlineStr">
        <is>
          <t>MKS00055</t>
        </is>
      </c>
      <c r="D43" s="3" t="inlineStr">
        <is>
          <t>Moved</t>
        </is>
      </c>
      <c r="E43" s="3" t="inlineStr">
        <is>
          <t>Oct 5 Mon 18:00 Prakash</t>
        </is>
      </c>
      <c r="F43" s="3" t="inlineStr">
        <is>
          <t>Oct 5 Mon 19:00 Prakash</t>
        </is>
      </c>
      <c r="G43" s="3" t="inlineStr">
        <is>
          <t>Approved: new Mon 5 7 PM Limited batch with Madesh and Aarav</t>
        </is>
      </c>
    </row>
    <row r="44" ht="15" customHeight="1">
      <c r="A44" s="3" t="n">
        <v>43</v>
      </c>
      <c r="B44" s="3" t="inlineStr">
        <is>
          <t>N.sri dharshni</t>
        </is>
      </c>
      <c r="C44" s="3" t="inlineStr">
        <is>
          <t>MKS00055</t>
        </is>
      </c>
      <c r="D44" s="3" t="inlineStr">
        <is>
          <t>Moved</t>
        </is>
      </c>
      <c r="E44" s="3" t="inlineStr">
        <is>
          <t>Oct 14 Wed 06:00 Bathri</t>
        </is>
      </c>
      <c r="F44" s="3" t="inlineStr">
        <is>
          <t>Oct 13 Tue 19:00 Prakash</t>
        </is>
      </c>
      <c r="G44" s="3" t="inlineStr">
        <is>
          <t>Approved: Tue 7 PM Limited batch</t>
        </is>
      </c>
    </row>
    <row r="45" ht="15" customHeight="1">
      <c r="A45" s="3" t="n">
        <v>44</v>
      </c>
      <c r="B45" s="3" t="inlineStr">
        <is>
          <t>N.sri dharshni</t>
        </is>
      </c>
      <c r="C45" s="3" t="inlineStr">
        <is>
          <t>MKS00055</t>
        </is>
      </c>
      <c r="D45" s="3" t="inlineStr">
        <is>
          <t>Moved</t>
        </is>
      </c>
      <c r="E45" s="3" t="inlineStr">
        <is>
          <t>Oct 21 Wed 06:00 Bathri</t>
        </is>
      </c>
      <c r="F45" s="3" t="inlineStr">
        <is>
          <t>Oct 20 Tue 19:00 Prakash</t>
        </is>
      </c>
      <c r="G45" s="3" t="inlineStr">
        <is>
          <t>Approved: Tue 7 PM Limited batch</t>
        </is>
      </c>
    </row>
    <row r="46" ht="15" customHeight="1">
      <c r="A46" s="3" t="n">
        <v>45</v>
      </c>
      <c r="B46" s="3" t="inlineStr">
        <is>
          <t>Devansh gade</t>
        </is>
      </c>
      <c r="C46" s="3" t="inlineStr">
        <is>
          <t>MKS00218</t>
        </is>
      </c>
      <c r="D46" s="3" t="inlineStr">
        <is>
          <t>Moved</t>
        </is>
      </c>
      <c r="E46" s="3" t="inlineStr">
        <is>
          <t>Oct 5 Mon 16:00 Bathri</t>
        </is>
      </c>
      <c r="F46" s="3" t="inlineStr">
        <is>
          <t>Oct 5 Mon 16:30 Bathri</t>
        </is>
      </c>
      <c r="G46" s="3" t="inlineStr">
        <is>
          <t>Approved: Devansh 4:30 PM only</t>
        </is>
      </c>
    </row>
    <row r="47" ht="15" customHeight="1">
      <c r="A47" s="3" t="n">
        <v>46</v>
      </c>
      <c r="B47" s="3" t="inlineStr">
        <is>
          <t>Kirthik</t>
        </is>
      </c>
      <c r="C47" s="3" t="inlineStr">
        <is>
          <t>MKS00048</t>
        </is>
      </c>
      <c r="D47" s="3" t="inlineStr">
        <is>
          <t>Moved</t>
        </is>
      </c>
      <c r="E47" s="3" t="inlineStr">
        <is>
          <t>Oct 7 Wed 16:00 Prakash</t>
        </is>
      </c>
      <c r="F47" s="3" t="inlineStr">
        <is>
          <t>Oct 3 Sat 06:00 Prakash</t>
        </is>
      </c>
      <c r="G47" s="3" t="inlineStr">
        <is>
          <t>Kirthik only Tue/Sat early morning (6 AM slot, Prakash free after Aadhav moved). Please confirm 6 AM vs 7 AM</t>
        </is>
      </c>
    </row>
    <row r="48" ht="15" customHeight="1">
      <c r="A48" s="3" t="n">
        <v>47</v>
      </c>
      <c r="B48" s="3" t="inlineStr">
        <is>
          <t>Aadhav Mithun</t>
        </is>
      </c>
      <c r="C48" s="3" t="inlineStr">
        <is>
          <t>MKS00170</t>
        </is>
      </c>
      <c r="D48" s="3" t="inlineStr">
        <is>
          <t>Moved</t>
        </is>
      </c>
      <c r="E48" s="3" t="inlineStr">
        <is>
          <t>Oct 3 Sat 06:00 Prakash</t>
        </is>
      </c>
      <c r="F48" s="3" t="inlineStr">
        <is>
          <t>Oct 3 Sat 10:00 Abinaya</t>
        </is>
      </c>
      <c r="G48" s="3" t="inlineStr">
        <is>
          <t>Approved: Aadhav Mithun Sat 10 AM with Abinaya (Basic batch moved out)</t>
        </is>
      </c>
    </row>
    <row r="49" ht="15" customHeight="1">
      <c r="A49" s="3" t="n">
        <v>48</v>
      </c>
      <c r="B49" s="3" t="inlineStr">
        <is>
          <t>Aadhav Mithun</t>
        </is>
      </c>
      <c r="C49" s="3" t="inlineStr">
        <is>
          <t>MKS00170</t>
        </is>
      </c>
      <c r="D49" s="3" t="inlineStr">
        <is>
          <t>Moved</t>
        </is>
      </c>
      <c r="E49" s="3" t="inlineStr">
        <is>
          <t>Oct 8 Thu 17:00 Dhaanush</t>
        </is>
      </c>
      <c r="F49" s="3" t="inlineStr">
        <is>
          <t>Oct 10 Sat 10:00 Abinaya</t>
        </is>
      </c>
      <c r="G49" s="3" t="inlineStr">
        <is>
          <t>Weekday 10 AM not possible; same Sat 10 AM Abinaya slot in the same week</t>
        </is>
      </c>
    </row>
    <row r="50" ht="15" customHeight="1">
      <c r="A50" s="3" t="n">
        <v>49</v>
      </c>
      <c r="B50" s="3" t="inlineStr">
        <is>
          <t>Kaashvi Prakash</t>
        </is>
      </c>
      <c r="C50" s="3" t="inlineStr">
        <is>
          <t>MKS00184</t>
        </is>
      </c>
      <c r="D50" s="3" t="inlineStr">
        <is>
          <t>Removed</t>
        </is>
      </c>
      <c r="E50" s="3" t="inlineStr">
        <is>
          <t>Oct 15 Thu 19:00 Prakash</t>
        </is>
      </c>
      <c r="F50" s="3" t="inlineStr">
        <is>
          <t>Class removed</t>
        </is>
      </c>
      <c r="G50" s="3" t="inlineStr">
        <is>
          <t>Approved: Kaashvi reduced to 4 classes (only 4 Wednesdays); Planned Classes changed 5 to 4</t>
        </is>
      </c>
    </row>
    <row r="51">
      <c r="A51" s="3" t="n">
        <v>50</v>
      </c>
      <c r="B51" s="3" t="inlineStr">
        <is>
          <t>S Mounitha</t>
        </is>
      </c>
      <c r="C51" s="3" t="inlineStr">
        <is>
          <t>MKS00226</t>
        </is>
      </c>
      <c r="D51" s="3" t="inlineStr">
        <is>
          <t>Moved</t>
        </is>
      </c>
      <c r="E51" s="3" t="inlineStr">
        <is>
          <t>Oct 7 Wed 19:00 Arshath</t>
        </is>
      </c>
      <c r="F51" s="3" t="inlineStr">
        <is>
          <t>Oct 7 Wed 19:00 Prakash</t>
        </is>
      </c>
      <c r="G51" s="3" t="inlineStr">
        <is>
          <t>Round 2 (Prakash comments): Prakash: Arshath does not take Basic/Beginner batches; Prakash is free at 19:00</t>
        </is>
      </c>
    </row>
    <row r="52">
      <c r="A52" s="3" t="n">
        <v>51</v>
      </c>
      <c r="B52" s="3" t="inlineStr">
        <is>
          <t>S Mounitha</t>
        </is>
      </c>
      <c r="C52" s="3" t="inlineStr">
        <is>
          <t>MKS00226</t>
        </is>
      </c>
      <c r="D52" s="3" t="inlineStr">
        <is>
          <t>Moved</t>
        </is>
      </c>
      <c r="E52" s="3" t="inlineStr">
        <is>
          <t>Oct 12 Mon 19:00 Arshath</t>
        </is>
      </c>
      <c r="F52" s="3" t="inlineStr">
        <is>
          <t>Oct 12 Mon 19:00 Bathri</t>
        </is>
      </c>
      <c r="G52" s="3" t="inlineStr">
        <is>
          <t>Round 2 (Prakash comments): Prakash: Arshath does not take Basic/Beginner batches; Bathri is free at 19:00</t>
        </is>
      </c>
    </row>
    <row r="53">
      <c r="A53" s="3" t="n">
        <v>52</v>
      </c>
      <c r="B53" s="3" t="inlineStr">
        <is>
          <t>M VARUNESH PANDI</t>
        </is>
      </c>
      <c r="C53" s="3" t="inlineStr">
        <is>
          <t>MKS00166</t>
        </is>
      </c>
      <c r="D53" s="3" t="inlineStr">
        <is>
          <t>Moved</t>
        </is>
      </c>
      <c r="E53" s="3" t="inlineStr">
        <is>
          <t>Oct 7 Wed 17:00 Bathri</t>
        </is>
      </c>
      <c r="F53" s="3" t="inlineStr">
        <is>
          <t>Oct 7 Wed 20:00 Manikandan</t>
        </is>
      </c>
      <c r="G53" s="3" t="inlineStr">
        <is>
          <t>Round 2 (Prakash comments): Bathri is with Devansh 4:30-5:30 on Wednesdays; weekday 8 PM only; same as his Wed 14 slot</t>
        </is>
      </c>
    </row>
    <row r="54">
      <c r="A54" s="3" t="n">
        <v>53</v>
      </c>
      <c r="B54" s="3" t="inlineStr">
        <is>
          <t>M VARUNESH PANDI</t>
        </is>
      </c>
      <c r="C54" s="3" t="inlineStr">
        <is>
          <t>MKS00166</t>
        </is>
      </c>
      <c r="D54" s="3" t="inlineStr">
        <is>
          <t>Moved</t>
        </is>
      </c>
      <c r="E54" s="3" t="inlineStr">
        <is>
          <t>Oct 28 Wed 17:00 Bathri</t>
        </is>
      </c>
      <c r="F54" s="3" t="inlineStr">
        <is>
          <t>Oct 28 Wed 20:00 Manikandan</t>
        </is>
      </c>
      <c r="G54" s="3" t="inlineStr">
        <is>
          <t>Round 2 (Prakash comments): Bathri is with Devansh 4:30-5:30 on Wednesdays; weekday 8 PM only; same as his Wed 14 slot</t>
        </is>
      </c>
    </row>
    <row r="55">
      <c r="A55" s="3" t="n">
        <v>54</v>
      </c>
      <c r="B55" s="3" t="inlineStr">
        <is>
          <t>Jovinya</t>
        </is>
      </c>
      <c r="C55" s="3" t="inlineStr">
        <is>
          <t>MKS00075</t>
        </is>
      </c>
      <c r="D55" s="3" t="inlineStr">
        <is>
          <t>Moved</t>
        </is>
      </c>
      <c r="E55" s="3" t="inlineStr">
        <is>
          <t>Oct 7 Wed 17:00 Bathri</t>
        </is>
      </c>
      <c r="F55" s="3" t="inlineStr">
        <is>
          <t>Oct 7 Wed 17:00 Abinaya</t>
        </is>
      </c>
      <c r="G55" s="3" t="inlineStr">
        <is>
          <t>Round 2 (Prakash comments): Bathri is with Devansh 4:30-5:30 on Wednesdays; same time with Abinaya (free)</t>
        </is>
      </c>
    </row>
    <row r="56">
      <c r="A56" s="3" t="n">
        <v>55</v>
      </c>
      <c r="B56" s="3" t="inlineStr">
        <is>
          <t>Jovinya</t>
        </is>
      </c>
      <c r="C56" s="3" t="inlineStr">
        <is>
          <t>MKS00075</t>
        </is>
      </c>
      <c r="D56" s="3" t="inlineStr">
        <is>
          <t>Moved</t>
        </is>
      </c>
      <c r="E56" s="3" t="inlineStr">
        <is>
          <t>Oct 14 Wed 17:00 Bathri</t>
        </is>
      </c>
      <c r="F56" s="3" t="inlineStr">
        <is>
          <t>Oct 14 Wed 17:00 Abinaya</t>
        </is>
      </c>
      <c r="G56" s="3" t="inlineStr">
        <is>
          <t>Round 2 (Prakash comments): Bathri is with Devansh 4:30-5:30 on Wednesdays; same time with Abinaya (free)</t>
        </is>
      </c>
    </row>
    <row r="57">
      <c r="A57" s="3" t="n">
        <v>56</v>
      </c>
      <c r="B57" s="3" t="inlineStr">
        <is>
          <t>Jovinya</t>
        </is>
      </c>
      <c r="C57" s="3" t="inlineStr">
        <is>
          <t>MKS00075</t>
        </is>
      </c>
      <c r="D57" s="3" t="inlineStr">
        <is>
          <t>Moved</t>
        </is>
      </c>
      <c r="E57" s="3" t="inlineStr">
        <is>
          <t>Oct 21 Wed 17:00 Bathri</t>
        </is>
      </c>
      <c r="F57" s="3" t="inlineStr">
        <is>
          <t>Oct 21 Wed 17:00 Abinaya</t>
        </is>
      </c>
      <c r="G57" s="3" t="inlineStr">
        <is>
          <t>Round 2 (Prakash comments): Bathri is with Devansh 4:30-5:30 on Wednesdays; same time with Abinaya (free)</t>
        </is>
      </c>
    </row>
    <row r="58">
      <c r="A58" s="3" t="n">
        <v>57</v>
      </c>
      <c r="B58" s="3" t="inlineStr">
        <is>
          <t>Jovinya</t>
        </is>
      </c>
      <c r="C58" s="3" t="inlineStr">
        <is>
          <t>MKS00075</t>
        </is>
      </c>
      <c r="D58" s="3" t="inlineStr">
        <is>
          <t>Moved</t>
        </is>
      </c>
      <c r="E58" s="3" t="inlineStr">
        <is>
          <t>Oct 28 Wed 17:00 Bathri</t>
        </is>
      </c>
      <c r="F58" s="3" t="inlineStr">
        <is>
          <t>Oct 28 Wed 17:00 Abinaya</t>
        </is>
      </c>
      <c r="G58" s="3" t="inlineStr">
        <is>
          <t>Round 2 (Prakash comments): Bathri is with Devansh 4:30-5:30 on Wednesdays; same time with Abinaya (free)</t>
        </is>
      </c>
    </row>
    <row r="59">
      <c r="A59" s="3" t="n">
        <v>58</v>
      </c>
      <c r="B59" s="3" t="inlineStr">
        <is>
          <t>S.V.Kavisree</t>
        </is>
      </c>
      <c r="C59" s="3" t="inlineStr">
        <is>
          <t>MKS00111</t>
        </is>
      </c>
      <c r="D59" s="3" t="inlineStr">
        <is>
          <t>Moved</t>
        </is>
      </c>
      <c r="E59" s="3" t="inlineStr">
        <is>
          <t>Oct 7 Wed 17:00 Bathri</t>
        </is>
      </c>
      <c r="F59" s="3" t="inlineStr">
        <is>
          <t>Oct 7 Wed 17:00 Abinaya</t>
        </is>
      </c>
      <c r="G59" s="3" t="inlineStr">
        <is>
          <t>Round 2 (Prakash comments): Bathri is with Devansh 4:30-5:30 on Wednesdays; same time with Abinaya (free)</t>
        </is>
      </c>
    </row>
    <row r="60">
      <c r="A60" s="3" t="n">
        <v>59</v>
      </c>
      <c r="B60" s="3" t="inlineStr">
        <is>
          <t>S.V.Kavisree</t>
        </is>
      </c>
      <c r="C60" s="3" t="inlineStr">
        <is>
          <t>MKS00111</t>
        </is>
      </c>
      <c r="D60" s="3" t="inlineStr">
        <is>
          <t>Moved</t>
        </is>
      </c>
      <c r="E60" s="3" t="inlineStr">
        <is>
          <t>Oct 14 Wed 17:00 Bathri</t>
        </is>
      </c>
      <c r="F60" s="3" t="inlineStr">
        <is>
          <t>Oct 14 Wed 17:00 Abinaya</t>
        </is>
      </c>
      <c r="G60" s="3" t="inlineStr">
        <is>
          <t>Round 2 (Prakash comments): Bathri is with Devansh 4:30-5:30 on Wednesdays; same time with Abinaya (free)</t>
        </is>
      </c>
    </row>
    <row r="61">
      <c r="A61" s="3" t="n">
        <v>60</v>
      </c>
      <c r="B61" s="3" t="inlineStr">
        <is>
          <t>S.V.Kavisree</t>
        </is>
      </c>
      <c r="C61" s="3" t="inlineStr">
        <is>
          <t>MKS00111</t>
        </is>
      </c>
      <c r="D61" s="3" t="inlineStr">
        <is>
          <t>Moved</t>
        </is>
      </c>
      <c r="E61" s="3" t="inlineStr">
        <is>
          <t>Oct 21 Wed 17:00 Bathri</t>
        </is>
      </c>
      <c r="F61" s="3" t="inlineStr">
        <is>
          <t>Oct 21 Wed 17:00 Abinaya</t>
        </is>
      </c>
      <c r="G61" s="3" t="inlineStr">
        <is>
          <t>Round 2 (Prakash comments): Bathri is with Devansh 4:30-5:30 on Wednesdays; same time with Abinaya (free)</t>
        </is>
      </c>
    </row>
    <row r="62">
      <c r="A62" s="3" t="n">
        <v>61</v>
      </c>
      <c r="B62" s="3" t="inlineStr">
        <is>
          <t>S.V.Kavisree</t>
        </is>
      </c>
      <c r="C62" s="3" t="inlineStr">
        <is>
          <t>MKS00111</t>
        </is>
      </c>
      <c r="D62" s="3" t="inlineStr">
        <is>
          <t>Moved</t>
        </is>
      </c>
      <c r="E62" s="3" t="inlineStr">
        <is>
          <t>Oct 28 Wed 17:00 Bathri</t>
        </is>
      </c>
      <c r="F62" s="3" t="inlineStr">
        <is>
          <t>Oct 28 Wed 17:00 Abinaya</t>
        </is>
      </c>
      <c r="G62" s="3" t="inlineStr">
        <is>
          <t>Round 2 (Prakash comments): Bathri is with Devansh 4:30-5:30 on Wednesdays; same time with Abinaya (free)</t>
        </is>
      </c>
    </row>
    <row r="63">
      <c r="A63" s="3" t="n">
        <v>62</v>
      </c>
      <c r="B63" s="3" t="inlineStr">
        <is>
          <t>Samuel Rajan</t>
        </is>
      </c>
      <c r="C63" s="3" t="inlineStr">
        <is>
          <t>MKS00182</t>
        </is>
      </c>
      <c r="D63" s="3" t="inlineStr">
        <is>
          <t>Moved</t>
        </is>
      </c>
      <c r="E63" s="3" t="inlineStr">
        <is>
          <t>Oct 5 Mon 19:00 Dhaanush</t>
        </is>
      </c>
      <c r="F63" s="3" t="inlineStr">
        <is>
          <t>Oct 3 Sat 19:00 Saravanan</t>
        </is>
      </c>
      <c r="G63" s="3" t="inlineStr">
        <is>
          <t>Round 2 (Prakash comments): Prakash approved: Sat 3 19:00 Saravanan Int 1 batch (3 students)</t>
        </is>
      </c>
    </row>
    <row r="64">
      <c r="A64" s="3" t="n">
        <v>63</v>
      </c>
      <c r="B64" s="3" t="inlineStr">
        <is>
          <t>Adhigan Amarnath</t>
        </is>
      </c>
      <c r="C64" s="3" t="inlineStr">
        <is>
          <t>MKS00204</t>
        </is>
      </c>
      <c r="D64" s="3" t="inlineStr">
        <is>
          <t>Moved</t>
        </is>
      </c>
      <c r="E64" s="3" t="inlineStr">
        <is>
          <t>Oct 5 Mon 19:00 Abinaya</t>
        </is>
      </c>
      <c r="F64" s="3" t="inlineStr">
        <is>
          <t>Oct 2 Fri 20:00 Manikandan</t>
        </is>
      </c>
      <c r="G64" s="3" t="inlineStr">
        <is>
          <t>Round 2 (Prakash comments): Basic 1 and Basic 2 must not mix; moved to the Fri 2 20:00 Manikandan Limited batch (3 students)</t>
        </is>
      </c>
    </row>
    <row r="65">
      <c r="A65" s="3" t="n">
        <v>64</v>
      </c>
      <c r="B65" s="3" t="inlineStr">
        <is>
          <t>N.sri dharshni</t>
        </is>
      </c>
      <c r="C65" s="3" t="inlineStr">
        <is>
          <t>MKS00055</t>
        </is>
      </c>
      <c r="D65" s="3" t="inlineStr">
        <is>
          <t>Removed</t>
        </is>
      </c>
      <c r="E65" s="3" t="inlineStr">
        <is>
          <t>Oct 10 Sat 21:00 Bathri</t>
        </is>
      </c>
      <c r="F65" s="3" t="inlineStr">
        <is>
          <t>Class removed (not scheduled)</t>
        </is>
      </c>
      <c r="G65" s="3" t="inlineStr">
        <is>
          <t>Round 2 (Prakash comments): Prakash: Sri Dharshini is not available on Saturdays; no 7 PM weekday seat found - class not scheduled (to be done manually)</t>
        </is>
      </c>
    </row>
    <row r="66">
      <c r="A66" s="3" t="n">
        <v>65</v>
      </c>
      <c r="B66" s="3" t="inlineStr">
        <is>
          <t>N.sri dharshni</t>
        </is>
      </c>
      <c r="C66" s="3" t="inlineStr">
        <is>
          <t>MKS00055</t>
        </is>
      </c>
      <c r="D66" s="3" t="inlineStr">
        <is>
          <t>Removed</t>
        </is>
      </c>
      <c r="E66" s="3" t="inlineStr">
        <is>
          <t>Oct 17 Sat 21:00 Bathri</t>
        </is>
      </c>
      <c r="F66" s="3" t="inlineStr">
        <is>
          <t>Class removed (not scheduled)</t>
        </is>
      </c>
      <c r="G66" s="3" t="inlineStr">
        <is>
          <t>Round 2 (Prakash comments): Prakash: Sri Dharshini is not available on Saturdays; no 7 PM weekday seat found - class not scheduled (to be done manually)</t>
        </is>
      </c>
    </row>
    <row r="67">
      <c r="A67" s="3" t="n">
        <v>66</v>
      </c>
      <c r="B67" s="3" t="inlineStr">
        <is>
          <t>N.sri dharshni</t>
        </is>
      </c>
      <c r="C67" s="3" t="inlineStr">
        <is>
          <t>MKS00055</t>
        </is>
      </c>
      <c r="D67" s="3" t="inlineStr">
        <is>
          <t>Removed</t>
        </is>
      </c>
      <c r="E67" s="3" t="inlineStr">
        <is>
          <t>Oct 24 Sat 21:00 Bathri</t>
        </is>
      </c>
      <c r="F67" s="3" t="inlineStr">
        <is>
          <t>Class removed (not scheduled)</t>
        </is>
      </c>
      <c r="G67" s="3" t="inlineStr">
        <is>
          <t>Round 2 (Prakash comments): Prakash: Sri Dharshini is not available on Saturdays; no 7 PM weekday seat found - class not scheduled (to be done manually)</t>
        </is>
      </c>
    </row>
    <row r="68">
      <c r="A68" s="3" t="n">
        <v>67</v>
      </c>
      <c r="B68" s="3" t="inlineStr">
        <is>
          <t>Kavinpriyan</t>
        </is>
      </c>
      <c r="C68" s="3" t="inlineStr">
        <is>
          <t>MKS00023</t>
        </is>
      </c>
      <c r="D68" s="3" t="inlineStr">
        <is>
          <t>Moved</t>
        </is>
      </c>
      <c r="E68" s="3" t="inlineStr">
        <is>
          <t>Oct 3 Sat 18:00 Dhaanush</t>
        </is>
      </c>
      <c r="F68" s="3" t="inlineStr">
        <is>
          <t>Oct 3 Sat 18:00 Manikandan</t>
        </is>
      </c>
      <c r="G68" s="3" t="inlineStr">
        <is>
          <t>Round 2 (Prakash comments): Prakash approved a new Early Int 1 batch with a free coach and partner; takes her out of the 4-student Dhaanush batch (Nithesh+Thivya+Reyhan stay as 3)</t>
        </is>
      </c>
    </row>
    <row r="69">
      <c r="A69" s="3" t="n">
        <v>68</v>
      </c>
      <c r="B69" s="3" t="inlineStr">
        <is>
          <t>Kavinpriyan</t>
        </is>
      </c>
      <c r="C69" s="3" t="inlineStr">
        <is>
          <t>MKS00023</t>
        </is>
      </c>
      <c r="D69" s="3" t="inlineStr">
        <is>
          <t>Moved</t>
        </is>
      </c>
      <c r="E69" s="3" t="inlineStr">
        <is>
          <t>Oct 10 Sat 18:00 Dhaanush</t>
        </is>
      </c>
      <c r="F69" s="3" t="inlineStr">
        <is>
          <t>Oct 10 Sat 18:00 Manikandan</t>
        </is>
      </c>
      <c r="G69" s="3" t="inlineStr">
        <is>
          <t>Round 2 (Prakash comments): Prakash approved a new Early Int 1 batch with a free coach and partner; takes her out of the 4-student Dhaanush batch (Nithesh+Thivya+Reyhan stay as 3)</t>
        </is>
      </c>
    </row>
    <row r="70">
      <c r="A70" s="3" t="n">
        <v>69</v>
      </c>
      <c r="B70" s="3" t="inlineStr">
        <is>
          <t>Kavinpriyan</t>
        </is>
      </c>
      <c r="C70" s="3" t="inlineStr">
        <is>
          <t>MKS00023</t>
        </is>
      </c>
      <c r="D70" s="3" t="inlineStr">
        <is>
          <t>Moved</t>
        </is>
      </c>
      <c r="E70" s="3" t="inlineStr">
        <is>
          <t>Oct 13 Tue 18:00 Dhaanush</t>
        </is>
      </c>
      <c r="F70" s="3" t="inlineStr">
        <is>
          <t>Oct 13 Tue 18:00 Manikandan</t>
        </is>
      </c>
      <c r="G70" s="3" t="inlineStr">
        <is>
          <t>Round 2 (Prakash comments): Prakash approved a new Early Int 1 batch with a free coach and partner; takes her out of the 4-student Dhaanush batch (Nithesh+Thivya+Reyhan stay as 3)</t>
        </is>
      </c>
    </row>
    <row r="71">
      <c r="A71" s="3" t="n">
        <v>70</v>
      </c>
      <c r="B71" s="3" t="inlineStr">
        <is>
          <t>Kavinpriyan</t>
        </is>
      </c>
      <c r="C71" s="3" t="inlineStr">
        <is>
          <t>MKS00023</t>
        </is>
      </c>
      <c r="D71" s="3" t="inlineStr">
        <is>
          <t>Moved</t>
        </is>
      </c>
      <c r="E71" s="3" t="inlineStr">
        <is>
          <t>Oct 17 Sat 18:00 Dhaanush</t>
        </is>
      </c>
      <c r="F71" s="3" t="inlineStr">
        <is>
          <t>Oct 17 Sat 18:00 Manikandan</t>
        </is>
      </c>
      <c r="G71" s="3" t="inlineStr">
        <is>
          <t>Round 2 (Prakash comments): Prakash approved a new Early Int 1 batch with a free coach and partner; takes her out of the 4-student Dhaanush batch (Nithesh+Thivya+Reyhan stay as 3)</t>
        </is>
      </c>
    </row>
    <row r="72">
      <c r="A72" s="3" t="n">
        <v>71</v>
      </c>
      <c r="B72" s="3" t="inlineStr">
        <is>
          <t>Kavinpriyan</t>
        </is>
      </c>
      <c r="C72" s="3" t="inlineStr">
        <is>
          <t>MKS00023</t>
        </is>
      </c>
      <c r="D72" s="3" t="inlineStr">
        <is>
          <t>Moved</t>
        </is>
      </c>
      <c r="E72" s="3" t="inlineStr">
        <is>
          <t>Oct 20 Tue 18:00 Dhaanush</t>
        </is>
      </c>
      <c r="F72" s="3" t="inlineStr">
        <is>
          <t>Oct 20 Tue 18:00 Manikandan</t>
        </is>
      </c>
      <c r="G72" s="3" t="inlineStr">
        <is>
          <t>Round 2 (Prakash comments): Prakash approved a new Early Int 1 batch with a free coach and partner; takes her out of the 4-student Dhaanush batch (Nithesh+Thivya+Reyhan stay as 3)</t>
        </is>
      </c>
    </row>
    <row r="73">
      <c r="A73" s="3" t="n">
        <v>72</v>
      </c>
      <c r="B73" s="3" t="inlineStr">
        <is>
          <t>Kavinpriyan</t>
        </is>
      </c>
      <c r="C73" s="3" t="inlineStr">
        <is>
          <t>MKS00023</t>
        </is>
      </c>
      <c r="D73" s="3" t="inlineStr">
        <is>
          <t>Moved</t>
        </is>
      </c>
      <c r="E73" s="3" t="inlineStr">
        <is>
          <t>Oct 31 Sat 18:00 Dhaanush</t>
        </is>
      </c>
      <c r="F73" s="3" t="inlineStr">
        <is>
          <t>Oct 31 Sat 18:00 Manikandan</t>
        </is>
      </c>
      <c r="G73" s="3" t="inlineStr">
        <is>
          <t>Round 2 (Prakash comments): Prakash approved a new Early Int 1 batch with a free coach and partner; takes her out of the 4-student Dhaanush batch (Nithesh+Thivya+Reyhan stay as 3)</t>
        </is>
      </c>
    </row>
    <row r="74">
      <c r="A74" s="3" t="n">
        <v>73</v>
      </c>
      <c r="B74" s="3" t="inlineStr">
        <is>
          <t>Rohith kumar.B</t>
        </is>
      </c>
      <c r="C74" s="3" t="inlineStr">
        <is>
          <t>MKS00207</t>
        </is>
      </c>
      <c r="D74" s="3" t="inlineStr">
        <is>
          <t>Moved</t>
        </is>
      </c>
      <c r="E74" s="3" t="inlineStr">
        <is>
          <t>Oct 1 Thu 18:00 Dhaanush</t>
        </is>
      </c>
      <c r="F74" s="3" t="inlineStr">
        <is>
          <t>Oct 3 Sat 18:00 Manikandan</t>
        </is>
      </c>
      <c r="G74" s="3" t="inlineStr">
        <is>
          <t>Round 2 (Prakash comments): Prakash: Rohith is available only 5/6 PM and does not match Nithesh; placed as partner of Kavinpriyan in the Early Int 1 batch (same week)</t>
        </is>
      </c>
    </row>
    <row r="75">
      <c r="A75" s="3" t="n">
        <v>74</v>
      </c>
      <c r="B75" s="3" t="inlineStr">
        <is>
          <t>Rohith kumar.B</t>
        </is>
      </c>
      <c r="C75" s="3" t="inlineStr">
        <is>
          <t>MKS00207</t>
        </is>
      </c>
      <c r="D75" s="3" t="inlineStr">
        <is>
          <t>Moved</t>
        </is>
      </c>
      <c r="E75" s="3" t="inlineStr">
        <is>
          <t>Oct 9 Fri 19:00 Dhaanush</t>
        </is>
      </c>
      <c r="F75" s="3" t="inlineStr">
        <is>
          <t>Oct 13 Tue 18:00 Manikandan</t>
        </is>
      </c>
      <c r="G75" s="3" t="inlineStr">
        <is>
          <t>Round 2 (Prakash comments): Prakash: Rohith is available only 5/6 PM and does not match Nithesh; placed as partner of Kavinpriyan in the Early Int 1 batch (same week)</t>
        </is>
      </c>
    </row>
    <row r="76">
      <c r="A76" s="3" t="n">
        <v>75</v>
      </c>
      <c r="B76" s="3" t="inlineStr">
        <is>
          <t>Rohith kumar.B</t>
        </is>
      </c>
      <c r="C76" s="3" t="inlineStr">
        <is>
          <t>MKS00207</t>
        </is>
      </c>
      <c r="D76" s="3" t="inlineStr">
        <is>
          <t>Moved</t>
        </is>
      </c>
      <c r="E76" s="3" t="inlineStr">
        <is>
          <t>Oct 12 Mon 06:00 Prakash</t>
        </is>
      </c>
      <c r="F76" s="3" t="inlineStr">
        <is>
          <t>Oct 10 Sat 18:00 Manikandan</t>
        </is>
      </c>
      <c r="G76" s="3" t="inlineStr">
        <is>
          <t>Round 2 (Prakash comments): Prakash: Rohith is available only 5/6 PM and does not match Nithesh; placed as partner of Kavinpriyan in the Early Int 1 batch (same week)</t>
        </is>
      </c>
    </row>
    <row r="77">
      <c r="A77" s="3" t="n">
        <v>76</v>
      </c>
      <c r="B77" s="3" t="inlineStr">
        <is>
          <t>Rohith kumar.B</t>
        </is>
      </c>
      <c r="C77" s="3" t="inlineStr">
        <is>
          <t>MKS00207</t>
        </is>
      </c>
      <c r="D77" s="3" t="inlineStr">
        <is>
          <t>Moved</t>
        </is>
      </c>
      <c r="E77" s="3" t="inlineStr">
        <is>
          <t>Oct 16 Fri 19:00 Dhaanush</t>
        </is>
      </c>
      <c r="F77" s="3" t="inlineStr">
        <is>
          <t>Oct 20 Tue 18:00 Manikandan</t>
        </is>
      </c>
      <c r="G77" s="3" t="inlineStr">
        <is>
          <t>Round 2 (Prakash comments): Prakash: Rohith is available only 5/6 PM and does not match Nithesh; placed as partner of Kavinpriyan in the Early Int 1 batch (same week)</t>
        </is>
      </c>
    </row>
    <row r="78">
      <c r="A78" s="3" t="n">
        <v>77</v>
      </c>
      <c r="B78" s="3" t="inlineStr">
        <is>
          <t>Rohith kumar.B</t>
        </is>
      </c>
      <c r="C78" s="3" t="inlineStr">
        <is>
          <t>MKS00207</t>
        </is>
      </c>
      <c r="D78" s="3" t="inlineStr">
        <is>
          <t>Moved</t>
        </is>
      </c>
      <c r="E78" s="3" t="inlineStr">
        <is>
          <t>Oct 19 Mon 06:00 Prakash</t>
        </is>
      </c>
      <c r="F78" s="3" t="inlineStr">
        <is>
          <t>Oct 17 Sat 18:00 Manikandan</t>
        </is>
      </c>
      <c r="G78" s="3" t="inlineStr">
        <is>
          <t>Round 2 (Prakash comments): Prakash: Rohith is available only 5/6 PM and does not match Nithesh; placed as partner of Kavinpriyan in the Early Int 1 batch (same week)</t>
        </is>
      </c>
    </row>
    <row r="79">
      <c r="A79" s="3" t="n">
        <v>78</v>
      </c>
      <c r="B79" s="3" t="inlineStr">
        <is>
          <t>Rohith kumar.B</t>
        </is>
      </c>
      <c r="C79" s="3" t="inlineStr">
        <is>
          <t>MKS00207</t>
        </is>
      </c>
      <c r="D79" s="3" t="inlineStr">
        <is>
          <t>Moved</t>
        </is>
      </c>
      <c r="E79" s="3" t="inlineStr">
        <is>
          <t>Oct 26 Mon 18:00 Dhaanush</t>
        </is>
      </c>
      <c r="F79" s="3" t="inlineStr">
        <is>
          <t>Oct 31 Sat 18:00 Manikandan</t>
        </is>
      </c>
      <c r="G79" s="3" t="inlineStr">
        <is>
          <t>Round 2 (Prakash comments): Prakash: Rohith is available only 5/6 PM and does not match Nithesh; placed as partner of Kavinpriyan in the Early Int 1 batch (same week)</t>
        </is>
      </c>
    </row>
    <row r="80">
      <c r="A80" s="3" t="n">
        <v>79</v>
      </c>
      <c r="B80" s="3" t="inlineStr">
        <is>
          <t>Kavinpriyan</t>
        </is>
      </c>
      <c r="C80" s="3" t="inlineStr">
        <is>
          <t>MKS00023</t>
        </is>
      </c>
      <c r="D80" s="3" t="inlineStr">
        <is>
          <t>Resolved - no change</t>
        </is>
      </c>
      <c r="E80" s="3" t="inlineStr">
        <is>
          <t>Oct 1 Thu 18:00 Dhaanush</t>
        </is>
      </c>
      <c r="F80" s="3" t="inlineStr">
        <is>
          <t>Same slot kept</t>
        </is>
      </c>
      <c r="G80" s="3" t="inlineStr">
        <is>
          <t>Round 2 (Prakash comments): Prakash: keep Kavinpriyan as Nithesh's partner on Thursdays</t>
        </is>
      </c>
    </row>
    <row r="81">
      <c r="A81" s="3" t="n">
        <v>80</v>
      </c>
      <c r="B81" s="3" t="inlineStr">
        <is>
          <t>Kavinpriyan</t>
        </is>
      </c>
      <c r="C81" s="3" t="inlineStr">
        <is>
          <t>MKS00023</t>
        </is>
      </c>
      <c r="D81" s="3" t="inlineStr">
        <is>
          <t>Resolved - no change</t>
        </is>
      </c>
      <c r="E81" s="3" t="inlineStr">
        <is>
          <t>Oct 8 Thu 18:00 Dhaanush</t>
        </is>
      </c>
      <c r="F81" s="3" t="inlineStr">
        <is>
          <t>Same slot kept</t>
        </is>
      </c>
      <c r="G81" s="3" t="inlineStr">
        <is>
          <t>Round 2 (Prakash comments): Prakash: keep Kavinpriyan as Nithesh's partner on Thursdays</t>
        </is>
      </c>
    </row>
    <row r="82">
      <c r="A82" s="3" t="n">
        <v>81</v>
      </c>
      <c r="B82" s="3" t="inlineStr">
        <is>
          <t>Kavinpriyan</t>
        </is>
      </c>
      <c r="C82" s="3" t="inlineStr">
        <is>
          <t>MKS00023</t>
        </is>
      </c>
      <c r="D82" s="3" t="inlineStr">
        <is>
          <t>Resolved - no change</t>
        </is>
      </c>
      <c r="E82" s="3" t="inlineStr">
        <is>
          <t>Oct 15 Thu 18:00 Dhaanush</t>
        </is>
      </c>
      <c r="F82" s="3" t="inlineStr">
        <is>
          <t>Same slot kept</t>
        </is>
      </c>
      <c r="G82" s="3" t="inlineStr">
        <is>
          <t>Round 2 (Prakash comments): Prakash: keep Kavinpriyan as Nithesh's partner on Thursdays</t>
        </is>
      </c>
    </row>
    <row r="83">
      <c r="A83" s="3" t="n">
        <v>82</v>
      </c>
      <c r="B83" s="3" t="inlineStr">
        <is>
          <t>Sachin</t>
        </is>
      </c>
      <c r="C83" s="3" t="inlineStr">
        <is>
          <t>MKS00059</t>
        </is>
      </c>
      <c r="D83" s="3" t="inlineStr">
        <is>
          <t>Moved</t>
        </is>
      </c>
      <c r="E83" s="3" t="inlineStr">
        <is>
          <t>Oct 30 Fri 17:00 Arshath</t>
        </is>
      </c>
      <c r="F83" s="3" t="inlineStr">
        <is>
          <t>Oct 30 Fri 17:30 Arshath</t>
        </is>
      </c>
      <c r="G83" s="3" t="inlineStr">
        <is>
          <t>Round 2 (Prakash comments): Prakash: all Fridays at 5:30 PM for all Intermediate 2 students</t>
        </is>
      </c>
    </row>
    <row r="84">
      <c r="A84" s="3" t="n">
        <v>83</v>
      </c>
      <c r="B84" s="3" t="inlineStr">
        <is>
          <t>Vivaan Aaditya</t>
        </is>
      </c>
      <c r="C84" s="3" t="inlineStr">
        <is>
          <t>MKS00053</t>
        </is>
      </c>
      <c r="D84" s="3" t="inlineStr">
        <is>
          <t>Moved</t>
        </is>
      </c>
      <c r="E84" s="3" t="inlineStr">
        <is>
          <t>Oct 30 Fri 17:00 Arshath</t>
        </is>
      </c>
      <c r="F84" s="3" t="inlineStr">
        <is>
          <t>Oct 30 Fri 17:30 Arshath</t>
        </is>
      </c>
      <c r="G84" s="3" t="inlineStr">
        <is>
          <t>Round 2 (Prakash comments): Prakash: all Fridays at 5:30 PM for all Intermediate 2 students</t>
        </is>
      </c>
    </row>
    <row r="85">
      <c r="A85" s="3" t="n">
        <v>84</v>
      </c>
      <c r="B85" s="3" t="inlineStr">
        <is>
          <t>Oviya B</t>
        </is>
      </c>
      <c r="C85" s="3" t="inlineStr">
        <is>
          <t>MKS00038</t>
        </is>
      </c>
      <c r="D85" s="3" t="inlineStr">
        <is>
          <t>Moved</t>
        </is>
      </c>
      <c r="E85" s="3" t="inlineStr">
        <is>
          <t>Oct 11 Sun 13:00 Abinaya</t>
        </is>
      </c>
      <c r="F85" s="3" t="inlineStr">
        <is>
          <t>Oct 11 Sun 11:00 Manikandan</t>
        </is>
      </c>
      <c r="G85" s="3" t="inlineStr">
        <is>
          <t>Round 2 (Prakash comments): Prakash: Oviya on Sundays at the 11 AM Manikandan batch</t>
        </is>
      </c>
    </row>
    <row r="86">
      <c r="A86" s="3" t="n">
        <v>85</v>
      </c>
      <c r="B86" s="3" t="inlineStr">
        <is>
          <t>Oviya B</t>
        </is>
      </c>
      <c r="C86" s="3" t="inlineStr">
        <is>
          <t>MKS00038</t>
        </is>
      </c>
      <c r="D86" s="3" t="inlineStr">
        <is>
          <t>Moved</t>
        </is>
      </c>
      <c r="E86" s="3" t="inlineStr">
        <is>
          <t>Oct 18 Sun 13:00 Abinaya</t>
        </is>
      </c>
      <c r="F86" s="3" t="inlineStr">
        <is>
          <t>Oct 18 Sun 11:00 Manikandan</t>
        </is>
      </c>
      <c r="G86" s="3" t="inlineStr">
        <is>
          <t>Round 2 (Prakash comments): Prakash: Oviya on Sundays at the 11 AM Manikandan batch</t>
        </is>
      </c>
    </row>
    <row r="87">
      <c r="A87" s="3" t="n">
        <v>86</v>
      </c>
      <c r="B87" s="3" t="inlineStr">
        <is>
          <t>Oviya B</t>
        </is>
      </c>
      <c r="C87" s="3" t="inlineStr">
        <is>
          <t>MKS00038</t>
        </is>
      </c>
      <c r="D87" s="3" t="inlineStr">
        <is>
          <t>Moved</t>
        </is>
      </c>
      <c r="E87" s="3" t="inlineStr">
        <is>
          <t>Oct 25 Sun 13:00 Abinaya</t>
        </is>
      </c>
      <c r="F87" s="3" t="inlineStr">
        <is>
          <t>Oct 25 Sun 11:00 Manikandan</t>
        </is>
      </c>
      <c r="G87" s="3" t="inlineStr">
        <is>
          <t>Round 2 (Prakash comments): Prakash: Oviya on Sundays at the 11 AM Manikandan batch</t>
        </is>
      </c>
    </row>
    <row r="88">
      <c r="A88" s="3" t="n">
        <v>87</v>
      </c>
      <c r="B88" s="3" t="inlineStr">
        <is>
          <t>Oviya B</t>
        </is>
      </c>
      <c r="C88" s="3" t="inlineStr">
        <is>
          <t>MKS00038</t>
        </is>
      </c>
      <c r="D88" s="3" t="inlineStr">
        <is>
          <t>Moved</t>
        </is>
      </c>
      <c r="E88" s="3" t="inlineStr">
        <is>
          <t>Oct 5 Mon 20:00 Abinaya</t>
        </is>
      </c>
      <c r="F88" s="3" t="inlineStr">
        <is>
          <t>Oct 5 Mon 19:00 Dhaanush</t>
        </is>
      </c>
      <c r="G88" s="3" t="inlineStr">
        <is>
          <t>Round 2 (Prakash comments): Prakash: combine Oviya with Beginner 2 batch students on any weekday time (existing seat, same week)</t>
        </is>
      </c>
    </row>
    <row r="89">
      <c r="A89" s="3" t="n">
        <v>88</v>
      </c>
      <c r="B89" s="3" t="inlineStr">
        <is>
          <t>Oviya B</t>
        </is>
      </c>
      <c r="C89" s="3" t="inlineStr">
        <is>
          <t>MKS00038</t>
        </is>
      </c>
      <c r="D89" s="3" t="inlineStr">
        <is>
          <t>Moved</t>
        </is>
      </c>
      <c r="E89" s="3" t="inlineStr">
        <is>
          <t>Oct 7 Wed 17:00 Bathri</t>
        </is>
      </c>
      <c r="F89" s="3" t="inlineStr">
        <is>
          <t>Oct 2 Fri 19:00 Dhaanush</t>
        </is>
      </c>
      <c r="G89" s="3" t="inlineStr">
        <is>
          <t>Round 2 (Prakash comments): Prakash: combine Oviya with Beginner 2 batch students on any weekday time (existing seat, same week)</t>
        </is>
      </c>
    </row>
    <row r="90">
      <c r="A90" s="3" t="n">
        <v>89</v>
      </c>
      <c r="B90" s="3" t="inlineStr">
        <is>
          <t>Oviya B</t>
        </is>
      </c>
      <c r="C90" s="3" t="inlineStr">
        <is>
          <t>MKS00038</t>
        </is>
      </c>
      <c r="D90" s="3" t="inlineStr">
        <is>
          <t>Moved</t>
        </is>
      </c>
      <c r="E90" s="3" t="inlineStr">
        <is>
          <t>Oct 12 Mon 20:00 Abinaya</t>
        </is>
      </c>
      <c r="F90" s="3" t="inlineStr">
        <is>
          <t>Oct 12 Mon 19:00 Dhaanush</t>
        </is>
      </c>
      <c r="G90" s="3" t="inlineStr">
        <is>
          <t>Round 2 (Prakash comments): Prakash: combine Oviya with Beginner 2 batch students on any weekday time (existing seat, same week)</t>
        </is>
      </c>
    </row>
    <row r="91">
      <c r="A91" s="3" t="n">
        <v>90</v>
      </c>
      <c r="B91" s="3" t="inlineStr">
        <is>
          <t>Oviya B</t>
        </is>
      </c>
      <c r="C91" s="3" t="inlineStr">
        <is>
          <t>MKS00038</t>
        </is>
      </c>
      <c r="D91" s="3" t="inlineStr">
        <is>
          <t>Moved</t>
        </is>
      </c>
      <c r="E91" s="3" t="inlineStr">
        <is>
          <t>Oct 15 Thu 20:00 Abinaya</t>
        </is>
      </c>
      <c r="F91" s="3" t="inlineStr">
        <is>
          <t>Oct 16 Fri 19:00 Dhaanush</t>
        </is>
      </c>
      <c r="G91" s="3" t="inlineStr">
        <is>
          <t>Round 2 (Prakash comments): Prakash: combine Oviya with Beginner 2 batch students on any weekday time (existing seat, same week)</t>
        </is>
      </c>
    </row>
    <row r="92">
      <c r="A92" s="3" t="n">
        <v>91</v>
      </c>
      <c r="B92" s="3" t="inlineStr">
        <is>
          <t>Oviya B</t>
        </is>
      </c>
      <c r="C92" s="3" t="inlineStr">
        <is>
          <t>MKS00038</t>
        </is>
      </c>
      <c r="D92" s="3" t="inlineStr">
        <is>
          <t>Moved</t>
        </is>
      </c>
      <c r="E92" s="3" t="inlineStr">
        <is>
          <t>Oct 19 Mon 20:00 Abinaya</t>
        </is>
      </c>
      <c r="F92" s="3" t="inlineStr">
        <is>
          <t>Oct 19 Mon 19:00 Dhaanush</t>
        </is>
      </c>
      <c r="G92" s="3" t="inlineStr">
        <is>
          <t>Round 2 (Prakash comments): Prakash: combine Oviya with Beginner 2 batch students on any weekday time (existing seat, same week)</t>
        </is>
      </c>
    </row>
    <row r="93">
      <c r="A93" s="3" t="n">
        <v>92</v>
      </c>
      <c r="B93" s="3" t="inlineStr">
        <is>
          <t>Oviya B</t>
        </is>
      </c>
      <c r="C93" s="3" t="inlineStr">
        <is>
          <t>MKS00038</t>
        </is>
      </c>
      <c r="D93" s="3" t="inlineStr">
        <is>
          <t>Moved</t>
        </is>
      </c>
      <c r="E93" s="3" t="inlineStr">
        <is>
          <t>Oct 26 Mon 20:00 Abinaya</t>
        </is>
      </c>
      <c r="F93" s="3" t="inlineStr">
        <is>
          <t>Oct 26 Mon 19:00 Dhaanush</t>
        </is>
      </c>
      <c r="G93" s="3" t="inlineStr">
        <is>
          <t>Round 2 (Prakash comments): Prakash: combine Oviya with Beginner 2 batch students on any weekday time (existing seat, same week)</t>
        </is>
      </c>
    </row>
    <row r="94">
      <c r="A94" s="3" t="n">
        <v>93</v>
      </c>
      <c r="B94" s="3" t="inlineStr">
        <is>
          <t>Oviya B</t>
        </is>
      </c>
      <c r="C94" s="3" t="inlineStr">
        <is>
          <t>MKS00038</t>
        </is>
      </c>
      <c r="D94" s="3" t="inlineStr">
        <is>
          <t>Moved</t>
        </is>
      </c>
      <c r="E94" s="3" t="inlineStr">
        <is>
          <t>Oct 28 Wed 17:00 Bathri</t>
        </is>
      </c>
      <c r="F94" s="3" t="inlineStr">
        <is>
          <t>Oct 27 Tue 19:00 Prakash</t>
        </is>
      </c>
      <c r="G94" s="3" t="inlineStr">
        <is>
          <t>Round 2 (Prakash comments): Prakash: combine Oviya with Beginner 2 batch students on any weekday time (existing seat, same week)</t>
        </is>
      </c>
    </row>
    <row r="95">
      <c r="A95" s="3" t="n">
        <v>94</v>
      </c>
      <c r="B95" s="3" t="inlineStr">
        <is>
          <t>Jovinya</t>
        </is>
      </c>
      <c r="C95" s="3" t="inlineStr">
        <is>
          <t>MKS00075</t>
        </is>
      </c>
      <c r="D95" s="3" t="inlineStr">
        <is>
          <t>Moved</t>
        </is>
      </c>
      <c r="E95" s="3" t="inlineStr">
        <is>
          <t>Oct 7 Wed 17:00 Abinaya</t>
        </is>
      </c>
      <c r="F95" s="3" t="inlineStr">
        <is>
          <t>Oct 7 Wed 17:00 Prakash</t>
        </is>
      </c>
      <c r="G95" s="3" t="inlineStr">
        <is>
          <t>Round 3 (your response Comment on #29): Abinaya is not available at 5 PM/6 PM Mon-Fri (your comment); Wed 17:00 batch moved to Prakash (free; Bathri is with Devansh)</t>
        </is>
      </c>
    </row>
    <row r="96">
      <c r="A96" s="3" t="n">
        <v>95</v>
      </c>
      <c r="B96" s="3" t="inlineStr">
        <is>
          <t>Jovinya</t>
        </is>
      </c>
      <c r="C96" s="3" t="inlineStr">
        <is>
          <t>MKS00075</t>
        </is>
      </c>
      <c r="D96" s="3" t="inlineStr">
        <is>
          <t>Moved</t>
        </is>
      </c>
      <c r="E96" s="3" t="inlineStr">
        <is>
          <t>Oct 14 Wed 17:00 Abinaya</t>
        </is>
      </c>
      <c r="F96" s="3" t="inlineStr">
        <is>
          <t>Oct 14 Wed 17:00 Prakash</t>
        </is>
      </c>
      <c r="G96" s="3" t="inlineStr">
        <is>
          <t>Round 3 (your response Comment on #29): Abinaya is not available at 5 PM/6 PM Mon-Fri (your comment); Wed 17:00 batch moved to Prakash (free; Bathri is with Devansh)</t>
        </is>
      </c>
    </row>
    <row r="97">
      <c r="A97" s="3" t="n">
        <v>96</v>
      </c>
      <c r="B97" s="3" t="inlineStr">
        <is>
          <t>Jovinya</t>
        </is>
      </c>
      <c r="C97" s="3" t="inlineStr">
        <is>
          <t>MKS00075</t>
        </is>
      </c>
      <c r="D97" s="3" t="inlineStr">
        <is>
          <t>Moved</t>
        </is>
      </c>
      <c r="E97" s="3" t="inlineStr">
        <is>
          <t>Oct 21 Wed 17:00 Abinaya</t>
        </is>
      </c>
      <c r="F97" s="3" t="inlineStr">
        <is>
          <t>Oct 21 Wed 17:00 Prakash</t>
        </is>
      </c>
      <c r="G97" s="3" t="inlineStr">
        <is>
          <t>Round 3 (your response Comment on #29): Abinaya is not available at 5 PM/6 PM Mon-Fri (your comment); Wed 17:00 batch moved to Prakash (free; Bathri is with Devansh)</t>
        </is>
      </c>
    </row>
    <row r="98">
      <c r="A98" s="3" t="n">
        <v>97</v>
      </c>
      <c r="B98" s="3" t="inlineStr">
        <is>
          <t>Jovinya</t>
        </is>
      </c>
      <c r="C98" s="3" t="inlineStr">
        <is>
          <t>MKS00075</t>
        </is>
      </c>
      <c r="D98" s="3" t="inlineStr">
        <is>
          <t>Moved</t>
        </is>
      </c>
      <c r="E98" s="3" t="inlineStr">
        <is>
          <t>Oct 28 Wed 17:00 Abinaya</t>
        </is>
      </c>
      <c r="F98" s="3" t="inlineStr">
        <is>
          <t>Oct 28 Wed 17:00 Prakash</t>
        </is>
      </c>
      <c r="G98" s="3" t="inlineStr">
        <is>
          <t>Round 3 (your response Comment on #29): Abinaya is not available at 5 PM/6 PM Mon-Fri (your comment); Wed 17:00 batch moved to Prakash (free; Bathri is with Devansh)</t>
        </is>
      </c>
    </row>
    <row r="99">
      <c r="A99" s="3" t="n">
        <v>98</v>
      </c>
      <c r="B99" s="3" t="inlineStr">
        <is>
          <t>S.V.Kavisree</t>
        </is>
      </c>
      <c r="C99" s="3" t="inlineStr">
        <is>
          <t>MKS00111</t>
        </is>
      </c>
      <c r="D99" s="3" t="inlineStr">
        <is>
          <t>Moved</t>
        </is>
      </c>
      <c r="E99" s="3" t="inlineStr">
        <is>
          <t>Oct 7 Wed 17:00 Abinaya</t>
        </is>
      </c>
      <c r="F99" s="3" t="inlineStr">
        <is>
          <t>Oct 7 Wed 17:00 Prakash</t>
        </is>
      </c>
      <c r="G99" s="3" t="inlineStr">
        <is>
          <t>Round 3 (your response Comment on #29): Abinaya is not available at 5 PM/6 PM Mon-Fri (your comment); Wed 17:00 batch moved to Prakash (free; Bathri is with Devansh)</t>
        </is>
      </c>
    </row>
    <row r="100">
      <c r="A100" s="3" t="n">
        <v>99</v>
      </c>
      <c r="B100" s="3" t="inlineStr">
        <is>
          <t>S.V.Kavisree</t>
        </is>
      </c>
      <c r="C100" s="3" t="inlineStr">
        <is>
          <t>MKS00111</t>
        </is>
      </c>
      <c r="D100" s="3" t="inlineStr">
        <is>
          <t>Moved</t>
        </is>
      </c>
      <c r="E100" s="3" t="inlineStr">
        <is>
          <t>Oct 14 Wed 17:00 Abinaya</t>
        </is>
      </c>
      <c r="F100" s="3" t="inlineStr">
        <is>
          <t>Oct 14 Wed 17:00 Prakash</t>
        </is>
      </c>
      <c r="G100" s="3" t="inlineStr">
        <is>
          <t>Round 3 (your response Comment on #29): Abinaya is not available at 5 PM/6 PM Mon-Fri (your comment); Wed 17:00 batch moved to Prakash (free; Bathri is with Devansh)</t>
        </is>
      </c>
    </row>
    <row r="101">
      <c r="A101" s="3" t="n">
        <v>100</v>
      </c>
      <c r="B101" s="3" t="inlineStr">
        <is>
          <t>S.V.Kavisree</t>
        </is>
      </c>
      <c r="C101" s="3" t="inlineStr">
        <is>
          <t>MKS00111</t>
        </is>
      </c>
      <c r="D101" s="3" t="inlineStr">
        <is>
          <t>Moved</t>
        </is>
      </c>
      <c r="E101" s="3" t="inlineStr">
        <is>
          <t>Oct 21 Wed 17:00 Abinaya</t>
        </is>
      </c>
      <c r="F101" s="3" t="inlineStr">
        <is>
          <t>Oct 21 Wed 17:00 Prakash</t>
        </is>
      </c>
      <c r="G101" s="3" t="inlineStr">
        <is>
          <t>Round 3 (your response Comment on #29): Abinaya is not available at 5 PM/6 PM Mon-Fri (your comment); Wed 17:00 batch moved to Prakash (free; Bathri is with Devansh)</t>
        </is>
      </c>
    </row>
    <row r="102">
      <c r="A102" s="3" t="n">
        <v>101</v>
      </c>
      <c r="B102" s="3" t="inlineStr">
        <is>
          <t>S.V.Kavisree</t>
        </is>
      </c>
      <c r="C102" s="3" t="inlineStr">
        <is>
          <t>MKS00111</t>
        </is>
      </c>
      <c r="D102" s="3" t="inlineStr">
        <is>
          <t>Moved</t>
        </is>
      </c>
      <c r="E102" s="3" t="inlineStr">
        <is>
          <t>Oct 28 Wed 17:00 Abinaya</t>
        </is>
      </c>
      <c r="F102" s="3" t="inlineStr">
        <is>
          <t>Oct 28 Wed 17:00 Prakash</t>
        </is>
      </c>
      <c r="G102" s="3" t="inlineStr">
        <is>
          <t>Round 3 (your response Comment on #29): Abinaya is not available at 5 PM/6 PM Mon-Fri (your comment); Wed 17:00 batch moved to Prakash (free; Bathri is with Devansh)</t>
        </is>
      </c>
    </row>
    <row r="103">
      <c r="A103" s="3" t="n">
        <v>102</v>
      </c>
      <c r="B103" s="3" t="inlineStr">
        <is>
          <t>S Mounitha</t>
        </is>
      </c>
      <c r="C103" s="3" t="inlineStr">
        <is>
          <t>MKS00226</t>
        </is>
      </c>
      <c r="D103" s="3" t="inlineStr">
        <is>
          <t>Moved</t>
        </is>
      </c>
      <c r="E103" s="3" t="inlineStr">
        <is>
          <t>Oct 2 Fri 19:00 Manikandan</t>
        </is>
      </c>
      <c r="F103" s="3" t="inlineStr">
        <is>
          <t>Oct 2 Fri 18:00 Prakash</t>
        </is>
      </c>
      <c r="G103" s="3" t="inlineStr">
        <is>
          <t>Round 3 (your response #2): Approved 6 PM; Manikandan not at 7 PM; Prakash is free at 18:00 (Abinaya is not available 6 PM Mon-Fri)</t>
        </is>
      </c>
    </row>
    <row r="104">
      <c r="A104" s="3" t="n">
        <v>103</v>
      </c>
      <c r="B104" s="3" t="inlineStr">
        <is>
          <t>N.sri dharshni</t>
        </is>
      </c>
      <c r="C104" s="3" t="inlineStr">
        <is>
          <t>MKS00055</t>
        </is>
      </c>
      <c r="D104" s="3" t="inlineStr">
        <is>
          <t>Added</t>
        </is>
      </c>
      <c r="E104" s="3" t="inlineStr">
        <is>
          <t>Not scheduled</t>
        </is>
      </c>
      <c r="F104" s="3" t="inlineStr">
        <is>
          <t>Oct 1 Thu 19:00 Prakash</t>
        </is>
      </c>
      <c r="G104" s="3" t="inlineStr">
        <is>
          <t>Round 3 (your response #1/#6/#10/#12/#13): Approved: new Limited slot 19:00 with Prakash</t>
        </is>
      </c>
    </row>
    <row r="105">
      <c r="A105" s="3" t="n">
        <v>104</v>
      </c>
      <c r="B105" s="3" t="inlineStr">
        <is>
          <t>N.sri dharshni</t>
        </is>
      </c>
      <c r="C105" s="3" t="inlineStr">
        <is>
          <t>MKS00055</t>
        </is>
      </c>
      <c r="D105" s="3" t="inlineStr">
        <is>
          <t>Added</t>
        </is>
      </c>
      <c r="E105" s="3" t="inlineStr">
        <is>
          <t>Not scheduled</t>
        </is>
      </c>
      <c r="F105" s="3" t="inlineStr">
        <is>
          <t>Oct 8 Thu 19:00 Prakash</t>
        </is>
      </c>
      <c r="G105" s="3" t="inlineStr">
        <is>
          <t>Round 3 (your response #1/#6/#10/#12/#13): Approved: new Limited slot 19:00 with Prakash</t>
        </is>
      </c>
    </row>
    <row r="106">
      <c r="A106" s="3" t="n">
        <v>105</v>
      </c>
      <c r="B106" s="3" t="inlineStr">
        <is>
          <t>N.sri dharshni</t>
        </is>
      </c>
      <c r="C106" s="3" t="inlineStr">
        <is>
          <t>MKS00055</t>
        </is>
      </c>
      <c r="D106" s="3" t="inlineStr">
        <is>
          <t>Added</t>
        </is>
      </c>
      <c r="E106" s="3" t="inlineStr">
        <is>
          <t>Not scheduled</t>
        </is>
      </c>
      <c r="F106" s="3" t="inlineStr">
        <is>
          <t>Oct 21 Wed 19:00 Prakash</t>
        </is>
      </c>
      <c r="G106" s="3" t="inlineStr">
        <is>
          <t>Round 3 (your response #1/#6/#10/#12/#13): Approved: new Limited slot 19:00 with Prakash</t>
        </is>
      </c>
    </row>
    <row r="107">
      <c r="A107" s="3" t="n">
        <v>106</v>
      </c>
      <c r="B107" s="3" t="inlineStr">
        <is>
          <t>N.sri dharshni</t>
        </is>
      </c>
      <c r="C107" s="3" t="inlineStr">
        <is>
          <t>MKS00055</t>
        </is>
      </c>
      <c r="D107" s="3" t="inlineStr">
        <is>
          <t>Added</t>
        </is>
      </c>
      <c r="E107" s="3" t="inlineStr">
        <is>
          <t>Not scheduled</t>
        </is>
      </c>
      <c r="F107" s="3" t="inlineStr">
        <is>
          <t>Oct 22 Thu 19:00 Prakash</t>
        </is>
      </c>
      <c r="G107" s="3" t="inlineStr">
        <is>
          <t>Round 3 (your response #1/#6/#10/#12/#13): Approved: new Limited slot 19:00 with Prakash</t>
        </is>
      </c>
    </row>
    <row r="108">
      <c r="A108" s="3" t="n">
        <v>107</v>
      </c>
      <c r="B108" s="3" t="inlineStr">
        <is>
          <t>N.sri dharshni</t>
        </is>
      </c>
      <c r="C108" s="3" t="inlineStr">
        <is>
          <t>MKS00055</t>
        </is>
      </c>
      <c r="D108" s="3" t="inlineStr">
        <is>
          <t>Added</t>
        </is>
      </c>
      <c r="E108" s="3" t="inlineStr">
        <is>
          <t>Not scheduled</t>
        </is>
      </c>
      <c r="F108" s="3" t="inlineStr">
        <is>
          <t>Oct 23 Fri 19:00 Prakash</t>
        </is>
      </c>
      <c r="G108" s="3" t="inlineStr">
        <is>
          <t>Round 3 (your response #1/#6/#10/#12/#13): Approved: new Limited slot 19:00 with Prakash</t>
        </is>
      </c>
    </row>
    <row r="109">
      <c r="A109" s="3" t="n">
        <v>108</v>
      </c>
      <c r="B109" s="3" t="inlineStr">
        <is>
          <t>B.AARAV NARAYAN</t>
        </is>
      </c>
      <c r="C109" s="3" t="inlineStr">
        <is>
          <t>MKS00098</t>
        </is>
      </c>
      <c r="D109" s="3" t="inlineStr">
        <is>
          <t>Moved</t>
        </is>
      </c>
      <c r="E109" s="3" t="inlineStr">
        <is>
          <t>Oct 22 Thu 19:00 Dhaanush</t>
        </is>
      </c>
      <c r="F109" s="3" t="inlineStr">
        <is>
          <t>Oct 26 Mon 19:00 Prakash</t>
        </is>
      </c>
      <c r="G109" s="3" t="inlineStr">
        <is>
          <t>Round 3 (your response #60): Approved: moved out of the shared Thu 22 individual class; joins Sri Dharshini at Mon 26 19:00 Prakash</t>
        </is>
      </c>
    </row>
    <row r="110">
      <c r="A110" s="3" t="n">
        <v>109</v>
      </c>
      <c r="B110" s="3" t="inlineStr">
        <is>
          <t>Sachin</t>
        </is>
      </c>
      <c r="C110" s="3" t="inlineStr">
        <is>
          <t>MKS00059</t>
        </is>
      </c>
      <c r="D110" s="3" t="inlineStr">
        <is>
          <t>Added</t>
        </is>
      </c>
      <c r="E110" s="3" t="inlineStr">
        <is>
          <t>Not scheduled</t>
        </is>
      </c>
      <c r="F110" s="3" t="inlineStr">
        <is>
          <t>Oct 16 Fri 17:30 Arshath</t>
        </is>
      </c>
      <c r="G110" s="3" t="inlineStr">
        <is>
          <t>Round 3 (your response #8/#11): Approved: Friday 5:30 PM Int 2 batch (all 7 together)</t>
        </is>
      </c>
    </row>
    <row r="111">
      <c r="A111" s="3" t="n">
        <v>110</v>
      </c>
      <c r="B111" s="3" t="inlineStr">
        <is>
          <t>Sachin</t>
        </is>
      </c>
      <c r="C111" s="3" t="inlineStr">
        <is>
          <t>MKS00059</t>
        </is>
      </c>
      <c r="D111" s="3" t="inlineStr">
        <is>
          <t>Removed</t>
        </is>
      </c>
      <c r="E111" s="3" t="inlineStr">
        <is>
          <t>Oct 22 Thu 17:30 Arshath</t>
        </is>
      </c>
      <c r="F111" s="3" t="inlineStr">
        <is>
          <t>Class removed</t>
        </is>
      </c>
      <c r="G111" s="3" t="inlineStr">
        <is>
          <t>Round 3 (your response #8/#11): Thursday 17:30 combined batch not allowed (only Friday 5:30 PM); also drops one class in Oct 22-31 as approved</t>
        </is>
      </c>
    </row>
    <row r="112">
      <c r="A112" s="3" t="n">
        <v>111</v>
      </c>
      <c r="B112" s="3" t="inlineStr">
        <is>
          <t>Vivaan Aaditya</t>
        </is>
      </c>
      <c r="C112" s="3" t="inlineStr">
        <is>
          <t>MKS00053</t>
        </is>
      </c>
      <c r="D112" s="3" t="inlineStr">
        <is>
          <t>Added</t>
        </is>
      </c>
      <c r="E112" s="3" t="inlineStr">
        <is>
          <t>Not scheduled</t>
        </is>
      </c>
      <c r="F112" s="3" t="inlineStr">
        <is>
          <t>Oct 16 Fri 17:30 Arshath</t>
        </is>
      </c>
      <c r="G112" s="3" t="inlineStr">
        <is>
          <t>Round 3 (your response #8/#11): Approved: Friday 5:30 PM Int 2 batch (all 7 together)</t>
        </is>
      </c>
    </row>
    <row r="113">
      <c r="A113" s="3" t="n">
        <v>112</v>
      </c>
      <c r="B113" s="3" t="inlineStr">
        <is>
          <t>Vivaan Aaditya</t>
        </is>
      </c>
      <c r="C113" s="3" t="inlineStr">
        <is>
          <t>MKS00053</t>
        </is>
      </c>
      <c r="D113" s="3" t="inlineStr">
        <is>
          <t>Removed</t>
        </is>
      </c>
      <c r="E113" s="3" t="inlineStr">
        <is>
          <t>Oct 22 Thu 17:30 Arshath</t>
        </is>
      </c>
      <c r="F113" s="3" t="inlineStr">
        <is>
          <t>Class removed</t>
        </is>
      </c>
      <c r="G113" s="3" t="inlineStr">
        <is>
          <t>Round 3 (your response #8/#11): Thursday 17:30 combined batch not allowed (only Friday 5:30 PM); also drops one class in Oct 22-31 as approved</t>
        </is>
      </c>
    </row>
    <row r="114">
      <c r="A114" s="3" t="n">
        <v>113</v>
      </c>
      <c r="B114" s="3" t="inlineStr">
        <is>
          <t>Selvakrishna RK</t>
        </is>
      </c>
      <c r="C114" s="3" t="inlineStr">
        <is>
          <t>MKS00167</t>
        </is>
      </c>
      <c r="D114" s="3" t="inlineStr">
        <is>
          <t>Moved</t>
        </is>
      </c>
      <c r="E114" s="3" t="inlineStr">
        <is>
          <t>Oct 31 Sat 18:00 Arshath</t>
        </is>
      </c>
      <c r="F114" s="3" t="inlineStr">
        <is>
          <t>Oct 30 Fri 17:30 Arshath</t>
        </is>
      </c>
      <c r="G114" s="3" t="inlineStr">
        <is>
          <t>Round 3 (your response #18): Approved: all Int 2 students on Friday 5:30 PM (Fri 30)</t>
        </is>
      </c>
    </row>
    <row r="115">
      <c r="A115" s="3" t="n">
        <v>114</v>
      </c>
      <c r="B115" s="3" t="inlineStr">
        <is>
          <t>Sarvin</t>
        </is>
      </c>
      <c r="C115" s="3" t="inlineStr">
        <is>
          <t>MKS00060</t>
        </is>
      </c>
      <c r="D115" s="3" t="inlineStr">
        <is>
          <t>Moved</t>
        </is>
      </c>
      <c r="E115" s="3" t="inlineStr">
        <is>
          <t>Oct 31 Sat 18:00 Arshath</t>
        </is>
      </c>
      <c r="F115" s="3" t="inlineStr">
        <is>
          <t>Oct 30 Fri 17:30 Arshath</t>
        </is>
      </c>
      <c r="G115" s="3" t="inlineStr">
        <is>
          <t>Round 3 (your response #18): Approved: all Int 2 students on Friday 5:30 PM (Fri 30)</t>
        </is>
      </c>
    </row>
    <row r="116">
      <c r="A116" s="3" t="n">
        <v>115</v>
      </c>
      <c r="B116" s="3" t="inlineStr">
        <is>
          <t>YAASHVIN A/L SATEESHKUMAR</t>
        </is>
      </c>
      <c r="C116" s="3" t="inlineStr">
        <is>
          <t>MKS00065</t>
        </is>
      </c>
      <c r="D116" s="3" t="inlineStr">
        <is>
          <t>Moved</t>
        </is>
      </c>
      <c r="E116" s="3" t="inlineStr">
        <is>
          <t>Oct 31 Sat 18:00 Arshath</t>
        </is>
      </c>
      <c r="F116" s="3" t="inlineStr">
        <is>
          <t>Oct 30 Fri 17:30 Arshath</t>
        </is>
      </c>
      <c r="G116" s="3" t="inlineStr">
        <is>
          <t>Round 3 (your response #18): Approved: all Int 2 students on Friday 5:30 PM (Fri 30)</t>
        </is>
      </c>
    </row>
    <row r="117">
      <c r="A117" s="3" t="n">
        <v>116</v>
      </c>
      <c r="B117" s="3" t="inlineStr">
        <is>
          <t>D R RAJAGOPALAN</t>
        </is>
      </c>
      <c r="C117" s="3" t="inlineStr">
        <is>
          <t>MKS00176</t>
        </is>
      </c>
      <c r="D117" s="3" t="inlineStr">
        <is>
          <t>Time filled</t>
        </is>
      </c>
      <c r="E117" s="3" t="inlineStr">
        <is>
          <t>Oct 2 Fri (blank) Bathri</t>
        </is>
      </c>
      <c r="F117" s="3" t="inlineStr">
        <is>
          <t>Oct 2 Fri 20:00 Bathri</t>
        </is>
      </c>
      <c r="G117" s="3" t="inlineStr">
        <is>
          <t>Round 3 (your response #19): Approved: blank time set to 20:00</t>
        </is>
      </c>
    </row>
    <row r="118">
      <c r="A118" s="3" t="n">
        <v>117</v>
      </c>
      <c r="B118" s="3" t="inlineStr">
        <is>
          <t>Akshadhasree</t>
        </is>
      </c>
      <c r="C118" s="3" t="inlineStr">
        <is>
          <t>MKS00067</t>
        </is>
      </c>
      <c r="D118" s="3" t="inlineStr">
        <is>
          <t>Coach filled</t>
        </is>
      </c>
      <c r="E118" s="3" t="inlineStr">
        <is>
          <t>Oct 24 Sat 11:00 (coach cell showed 11:00)</t>
        </is>
      </c>
      <c r="F118" s="3" t="inlineStr">
        <is>
          <t>Oct 24 Sat 11:00 Bathri</t>
        </is>
      </c>
      <c r="G118" s="3" t="inlineStr">
        <is>
          <t>Round 3 (your response #21/#22): Approved: coach set to Bathri</t>
        </is>
      </c>
    </row>
    <row r="119">
      <c r="A119" s="3" t="n">
        <v>118</v>
      </c>
      <c r="B119" s="3" t="inlineStr">
        <is>
          <t>Anikha</t>
        </is>
      </c>
      <c r="C119" s="3" t="inlineStr">
        <is>
          <t>MKS00066</t>
        </is>
      </c>
      <c r="D119" s="3" t="inlineStr">
        <is>
          <t>Coach filled</t>
        </is>
      </c>
      <c r="E119" s="3" t="inlineStr">
        <is>
          <t>Oct 24 Sat 11:00 (coach cell showed 11:00)</t>
        </is>
      </c>
      <c r="F119" s="3" t="inlineStr">
        <is>
          <t>Oct 24 Sat 11:00 Bathri</t>
        </is>
      </c>
      <c r="G119" s="3" t="inlineStr">
        <is>
          <t>Round 3 (your response #21/#22): Approved: coach set to Bathri</t>
        </is>
      </c>
    </row>
    <row r="120">
      <c r="A120" s="3" t="n">
        <v>119</v>
      </c>
      <c r="B120" s="3" t="inlineStr">
        <is>
          <t>M VARUNESH PANDI</t>
        </is>
      </c>
      <c r="C120" s="3" t="inlineStr">
        <is>
          <t>MKS00166</t>
        </is>
      </c>
      <c r="D120" s="3" t="inlineStr">
        <is>
          <t>Moved</t>
        </is>
      </c>
      <c r="E120" s="3" t="inlineStr">
        <is>
          <t>Oct 14 Wed 20:00 Manikandan</t>
        </is>
      </c>
      <c r="F120" s="3" t="inlineStr">
        <is>
          <t>Oct 15 Thu 20:00 Manikandan</t>
        </is>
      </c>
      <c r="G120" s="3" t="inlineStr">
        <is>
          <t>Round 3 (your response #20): Approved: weekly spread (Wed 14 to Thu 15, 20:00 Manikandan)</t>
        </is>
      </c>
    </row>
    <row r="121">
      <c r="A121" s="3" t="n">
        <v>120</v>
      </c>
      <c r="B121" s="3" t="inlineStr">
        <is>
          <t>J Jerwin</t>
        </is>
      </c>
      <c r="C121" s="3" t="inlineStr">
        <is>
          <t>MKS00230</t>
        </is>
      </c>
      <c r="D121" s="3" t="inlineStr">
        <is>
          <t>Moved</t>
        </is>
      </c>
      <c r="E121" s="3" t="inlineStr">
        <is>
          <t>Oct 7 Wed 19:00 Abinaya</t>
        </is>
      </c>
      <c r="F121" s="3" t="inlineStr">
        <is>
          <t>Oct 7 Wed 20:00 Abinaya</t>
        </is>
      </c>
      <c r="G121" s="3" t="inlineStr">
        <is>
          <t>Round 3 (your response #31): Approved: Basic 2 student separated from Basic 1 batch</t>
        </is>
      </c>
    </row>
    <row r="122">
      <c r="A122" s="3" t="n">
        <v>121</v>
      </c>
      <c r="B122" s="3" t="inlineStr">
        <is>
          <t>J Jerwin</t>
        </is>
      </c>
      <c r="C122" s="3" t="inlineStr">
        <is>
          <t>MKS00230</t>
        </is>
      </c>
      <c r="D122" s="3" t="inlineStr">
        <is>
          <t>Moved</t>
        </is>
      </c>
      <c r="E122" s="3" t="inlineStr">
        <is>
          <t>Oct 9 Fri 19:00 Abinaya</t>
        </is>
      </c>
      <c r="F122" s="3" t="inlineStr">
        <is>
          <t>Oct 9 Fri 20:00 Manikandan</t>
        </is>
      </c>
      <c r="G122" s="3" t="inlineStr">
        <is>
          <t>Round 3 (your response #33): Approved: Basic 2 student separated from Basic 1 batch</t>
        </is>
      </c>
    </row>
    <row r="123">
      <c r="A123" s="3" t="n">
        <v>122</v>
      </c>
      <c r="B123" s="3" t="inlineStr">
        <is>
          <t>J Jerwin</t>
        </is>
      </c>
      <c r="C123" s="3" t="inlineStr">
        <is>
          <t>MKS00230</t>
        </is>
      </c>
      <c r="D123" s="3" t="inlineStr">
        <is>
          <t>Moved</t>
        </is>
      </c>
      <c r="E123" s="3" t="inlineStr">
        <is>
          <t>Oct 12 Mon 19:00 Abinaya</t>
        </is>
      </c>
      <c r="F123" s="3" t="inlineStr">
        <is>
          <t>Oct 12 Mon 20:00 Abinaya</t>
        </is>
      </c>
      <c r="G123" s="3" t="inlineStr">
        <is>
          <t>Round 3 (your response #39): Approved: Basic 2 student separated from Basic 1 batch</t>
        </is>
      </c>
    </row>
    <row r="124">
      <c r="A124" s="3" t="n">
        <v>123</v>
      </c>
      <c r="B124" s="3" t="inlineStr">
        <is>
          <t>J Jerwin</t>
        </is>
      </c>
      <c r="C124" s="3" t="inlineStr">
        <is>
          <t>MKS00230</t>
        </is>
      </c>
      <c r="D124" s="3" t="inlineStr">
        <is>
          <t>Moved</t>
        </is>
      </c>
      <c r="E124" s="3" t="inlineStr">
        <is>
          <t>Oct 17 Sat 19:00 Abinaya</t>
        </is>
      </c>
      <c r="F124" s="3" t="inlineStr">
        <is>
          <t>Oct 17 Sat 17:00 Bathri</t>
        </is>
      </c>
      <c r="G124" s="3" t="inlineStr">
        <is>
          <t>Round 3 (your response #48): Approved: Basic 2 student separated from Basic 1 batch</t>
        </is>
      </c>
    </row>
    <row r="125">
      <c r="A125" s="3" t="n">
        <v>124</v>
      </c>
      <c r="B125" s="3" t="inlineStr">
        <is>
          <t>J Jerwin</t>
        </is>
      </c>
      <c r="C125" s="3" t="inlineStr">
        <is>
          <t>MKS00230</t>
        </is>
      </c>
      <c r="D125" s="3" t="inlineStr">
        <is>
          <t>Moved</t>
        </is>
      </c>
      <c r="E125" s="3" t="inlineStr">
        <is>
          <t>Oct 19 Mon 19:00 Abinaya</t>
        </is>
      </c>
      <c r="F125" s="3" t="inlineStr">
        <is>
          <t>Oct 19 Mon 20:00 Abinaya</t>
        </is>
      </c>
      <c r="G125" s="3" t="inlineStr">
        <is>
          <t>Round 3 (your response #53): Approved: Basic 2 student separated from Basic 1 batch</t>
        </is>
      </c>
    </row>
    <row r="126">
      <c r="A126" s="3" t="n">
        <v>125</v>
      </c>
      <c r="B126" s="3" t="inlineStr">
        <is>
          <t>J Jerwin</t>
        </is>
      </c>
      <c r="C126" s="3" t="inlineStr">
        <is>
          <t>MKS00230</t>
        </is>
      </c>
      <c r="D126" s="3" t="inlineStr">
        <is>
          <t>Moved</t>
        </is>
      </c>
      <c r="E126" s="3" t="inlineStr">
        <is>
          <t>Oct 21 Wed 19:00 Abinaya</t>
        </is>
      </c>
      <c r="F126" s="3" t="inlineStr">
        <is>
          <t>Oct 21 Wed 20:00 Abinaya</t>
        </is>
      </c>
      <c r="G126" s="3" t="inlineStr">
        <is>
          <t>Round 3 (your response #57): Approved: Basic 2 student separated from Basic 1 batch</t>
        </is>
      </c>
    </row>
    <row r="127">
      <c r="A127" s="3" t="n">
        <v>126</v>
      </c>
      <c r="B127" s="3" t="inlineStr">
        <is>
          <t>J Jerwin</t>
        </is>
      </c>
      <c r="C127" s="3" t="inlineStr">
        <is>
          <t>MKS00230</t>
        </is>
      </c>
      <c r="D127" s="3" t="inlineStr">
        <is>
          <t>Moved</t>
        </is>
      </c>
      <c r="E127" s="3" t="inlineStr">
        <is>
          <t>Oct 26 Mon 19:00 Abinaya</t>
        </is>
      </c>
      <c r="F127" s="3" t="inlineStr">
        <is>
          <t>Oct 26 Mon 20:00 Abinaya</t>
        </is>
      </c>
      <c r="G127" s="3" t="inlineStr">
        <is>
          <t>Round 3 (your response #65): Approved: Basic 2 student separated from Basic 1 batch</t>
        </is>
      </c>
    </row>
    <row r="128">
      <c r="A128" s="3" t="n">
        <v>127</v>
      </c>
      <c r="B128" s="3" t="inlineStr">
        <is>
          <t>J Jerwin</t>
        </is>
      </c>
      <c r="C128" s="3" t="inlineStr">
        <is>
          <t>MKS00230</t>
        </is>
      </c>
      <c r="D128" s="3" t="inlineStr">
        <is>
          <t>Moved</t>
        </is>
      </c>
      <c r="E128" s="3" t="inlineStr">
        <is>
          <t>Oct 28 Wed 19:00 Abinaya</t>
        </is>
      </c>
      <c r="F128" s="3" t="inlineStr">
        <is>
          <t>Oct 28 Wed 17:00 Prakash</t>
        </is>
      </c>
      <c r="G128" s="3" t="inlineStr">
        <is>
          <t>Round 3 (your response #67): Approved: Basic 2 student separated from Basic 1 batch (Wed 17:00 coach is Prakash because Abinaya is not available at 5 PM)</t>
        </is>
      </c>
    </row>
    <row r="129">
      <c r="A129" s="3" t="n">
        <v>128</v>
      </c>
      <c r="B129" s="3" t="inlineStr">
        <is>
          <t>B.SAI SRI</t>
        </is>
      </c>
      <c r="C129" s="3" t="inlineStr">
        <is>
          <t>MKS00211</t>
        </is>
      </c>
      <c r="D129" s="3" t="inlineStr">
        <is>
          <t>Moved</t>
        </is>
      </c>
      <c r="E129" s="3" t="inlineStr">
        <is>
          <t>Oct 6 Tue 19:00 Abinaya</t>
        </is>
      </c>
      <c r="F129" s="3" t="inlineStr">
        <is>
          <t>Oct 6 Tue 20:00 Abinaya</t>
        </is>
      </c>
      <c r="G129" s="3" t="inlineStr">
        <is>
          <t>Round 3 (your response #28): Approved: Basic 2 student separated from Basic 1 batch</t>
        </is>
      </c>
    </row>
    <row r="130">
      <c r="A130" s="3" t="n">
        <v>129</v>
      </c>
      <c r="B130" s="3" t="inlineStr">
        <is>
          <t>B.SAI SRI</t>
        </is>
      </c>
      <c r="C130" s="3" t="inlineStr">
        <is>
          <t>MKS00211</t>
        </is>
      </c>
      <c r="D130" s="3" t="inlineStr">
        <is>
          <t>Moved</t>
        </is>
      </c>
      <c r="E130" s="3" t="inlineStr">
        <is>
          <t>Oct 13 Tue 19:00 Abinaya</t>
        </is>
      </c>
      <c r="F130" s="3" t="inlineStr">
        <is>
          <t>Oct 13 Tue 20:00 Abinaya</t>
        </is>
      </c>
      <c r="G130" s="3" t="inlineStr">
        <is>
          <t>Round 3 (your response #40): Approved: Basic 2 student separated from Basic 1 batch</t>
        </is>
      </c>
    </row>
    <row r="131">
      <c r="A131" s="3" t="n">
        <v>130</v>
      </c>
      <c r="B131" s="3" t="inlineStr">
        <is>
          <t>B.SAI SRI</t>
        </is>
      </c>
      <c r="C131" s="3" t="inlineStr">
        <is>
          <t>MKS00211</t>
        </is>
      </c>
      <c r="D131" s="3" t="inlineStr">
        <is>
          <t>Moved</t>
        </is>
      </c>
      <c r="E131" s="3" t="inlineStr">
        <is>
          <t>Oct 21 Wed 19:00 Abinaya</t>
        </is>
      </c>
      <c r="F131" s="3" t="inlineStr">
        <is>
          <t>Oct 21 Wed 20:00 Abinaya</t>
        </is>
      </c>
      <c r="G131" s="3" t="inlineStr">
        <is>
          <t>Round 3 (your response #58): Approved: Basic 2 student separated from Basic 1 batch</t>
        </is>
      </c>
    </row>
    <row r="132">
      <c r="A132" s="3" t="n">
        <v>131</v>
      </c>
      <c r="B132" s="3" t="inlineStr">
        <is>
          <t>Adhigan Amarnath</t>
        </is>
      </c>
      <c r="C132" s="3" t="inlineStr">
        <is>
          <t>MKS00204</t>
        </is>
      </c>
      <c r="D132" s="3" t="inlineStr">
        <is>
          <t>Moved</t>
        </is>
      </c>
      <c r="E132" s="3" t="inlineStr">
        <is>
          <t>Oct 16 Fri 19:00 Abinaya</t>
        </is>
      </c>
      <c r="F132" s="3" t="inlineStr">
        <is>
          <t>Oct 16 Fri 20:00 Manikandan</t>
        </is>
      </c>
      <c r="G132" s="3" t="inlineStr">
        <is>
          <t>Round 3 (your response #46): Approved: Basic 2 student separated from Basic 1 batch</t>
        </is>
      </c>
    </row>
    <row r="133">
      <c r="A133" s="3" t="n">
        <v>132</v>
      </c>
      <c r="B133" s="3" t="inlineStr">
        <is>
          <t>A.Bavinesh</t>
        </is>
      </c>
      <c r="C133" s="3" t="inlineStr">
        <is>
          <t>MKS00214</t>
        </is>
      </c>
      <c r="D133" s="3" t="inlineStr">
        <is>
          <t>Moved</t>
        </is>
      </c>
      <c r="E133" s="3" t="inlineStr">
        <is>
          <t>Oct 14 Wed 19:00 Abinaya</t>
        </is>
      </c>
      <c r="F133" s="3" t="inlineStr">
        <is>
          <t>Oct 13 Tue 19:00 Abinaya</t>
        </is>
      </c>
      <c r="G133" s="3" t="inlineStr">
        <is>
          <t>Round 3 (your response #43): Approved: Limited batch over 3 students</t>
        </is>
      </c>
    </row>
    <row r="134">
      <c r="A134" s="3" t="n">
        <v>133</v>
      </c>
      <c r="B134" s="3" t="inlineStr">
        <is>
          <t>Sri Varshini</t>
        </is>
      </c>
      <c r="C134" s="3" t="inlineStr">
        <is>
          <t>MKS00232</t>
        </is>
      </c>
      <c r="D134" s="3" t="inlineStr">
        <is>
          <t>Moved</t>
        </is>
      </c>
      <c r="E134" s="3" t="inlineStr">
        <is>
          <t>Oct 3 Sat 19:00 Abinaya</t>
        </is>
      </c>
      <c r="F134" s="3" t="inlineStr">
        <is>
          <t>Oct 3 Sat 17:00 Abinaya</t>
        </is>
      </c>
      <c r="G134" s="3" t="inlineStr">
        <is>
          <t>Round 3 (your response #26): Approved (Basic 1 batch with Chanvika and Aaradheya)</t>
        </is>
      </c>
    </row>
    <row r="135">
      <c r="A135" s="3" t="n">
        <v>134</v>
      </c>
      <c r="B135" s="3" t="inlineStr">
        <is>
          <t>Aaradheya P</t>
        </is>
      </c>
      <c r="C135" s="3" t="inlineStr">
        <is>
          <t>MKS00225</t>
        </is>
      </c>
      <c r="D135" s="3" t="inlineStr">
        <is>
          <t>Moved</t>
        </is>
      </c>
      <c r="E135" s="3" t="inlineStr">
        <is>
          <t>Oct 31 Sat 19:00 Abinaya</t>
        </is>
      </c>
      <c r="F135" s="3" t="inlineStr">
        <is>
          <t>Oct 26 Mon 19:00 Abinaya</t>
        </is>
      </c>
      <c r="G135" s="3" t="inlineStr">
        <is>
          <t>Round 3 (your response #70): Approved: Basic 1 batch with Chanvika (Abinaya)</t>
        </is>
      </c>
    </row>
    <row r="136">
      <c r="A136" s="3" t="n">
        <v>135</v>
      </c>
      <c r="B136" s="3" t="inlineStr">
        <is>
          <t>R Logeshwaran</t>
        </is>
      </c>
      <c r="C136" s="3" t="inlineStr">
        <is>
          <t>MKS00222</t>
        </is>
      </c>
      <c r="D136" s="3" t="inlineStr">
        <is>
          <t>Moved</t>
        </is>
      </c>
      <c r="E136" s="3" t="inlineStr">
        <is>
          <t>Oct 10 Sat 17:00 Dhaanush</t>
        </is>
      </c>
      <c r="F136" s="3" t="inlineStr">
        <is>
          <t>Oct 10 Sat 20:00 Manikandan</t>
        </is>
      </c>
      <c r="G136" s="3" t="inlineStr">
        <is>
          <t>Round 3 (your response #37): Approved: 8 PM only (except Sunday)</t>
        </is>
      </c>
    </row>
    <row r="137">
      <c r="A137" s="3" t="n">
        <v>136</v>
      </c>
      <c r="B137" s="3" t="inlineStr">
        <is>
          <t>R Logeshwaran</t>
        </is>
      </c>
      <c r="C137" s="3" t="inlineStr">
        <is>
          <t>MKS00222</t>
        </is>
      </c>
      <c r="D137" s="3" t="inlineStr">
        <is>
          <t>Moved</t>
        </is>
      </c>
      <c r="E137" s="3" t="inlineStr">
        <is>
          <t>Oct 17 Sat 17:00 Dhaanush</t>
        </is>
      </c>
      <c r="F137" s="3" t="inlineStr">
        <is>
          <t>Oct 17 Sat 20:00 Guru</t>
        </is>
      </c>
      <c r="G137" s="3" t="inlineStr">
        <is>
          <t>Round 3 (your response #51): Approved: 8 PM only (except Sunday)</t>
        </is>
      </c>
    </row>
    <row r="138">
      <c r="A138" s="3" t="n">
        <v>137</v>
      </c>
      <c r="B138" s="3" t="inlineStr">
        <is>
          <t>R Logeshwaran</t>
        </is>
      </c>
      <c r="C138" s="3" t="inlineStr">
        <is>
          <t>MKS00222</t>
        </is>
      </c>
      <c r="D138" s="3" t="inlineStr">
        <is>
          <t>Moved</t>
        </is>
      </c>
      <c r="E138" s="3" t="inlineStr">
        <is>
          <t>Oct 24 Sat 17:00 Dhaanush</t>
        </is>
      </c>
      <c r="F138" s="3" t="inlineStr">
        <is>
          <t>Oct 24 Sat 20:00 Guru</t>
        </is>
      </c>
      <c r="G138" s="3" t="inlineStr">
        <is>
          <t>Round 3 (your response #63): Approved: 8 PM only (except Sunday)</t>
        </is>
      </c>
    </row>
    <row r="139">
      <c r="A139" s="3" t="n">
        <v>138</v>
      </c>
      <c r="B139" s="3" t="inlineStr">
        <is>
          <t>R Logeshwaran</t>
        </is>
      </c>
      <c r="C139" s="3" t="inlineStr">
        <is>
          <t>MKS00222</t>
        </is>
      </c>
      <c r="D139" s="3" t="inlineStr">
        <is>
          <t>Moved</t>
        </is>
      </c>
      <c r="E139" s="3" t="inlineStr">
        <is>
          <t>Oct 31 Sat 17:00 Dhaanush</t>
        </is>
      </c>
      <c r="F139" s="3" t="inlineStr">
        <is>
          <t>Oct 31 Sat 20:00 Bathri</t>
        </is>
      </c>
      <c r="G139" s="3" t="inlineStr">
        <is>
          <t>Round 3 (your response #72): Approved: 8 PM only (except Sunday)</t>
        </is>
      </c>
    </row>
    <row r="140">
      <c r="A140" s="3" t="n">
        <v>139</v>
      </c>
      <c r="B140" s="3" t="inlineStr">
        <is>
          <t>Kavinpriyan</t>
        </is>
      </c>
      <c r="C140" s="3" t="inlineStr">
        <is>
          <t>MKS00023</t>
        </is>
      </c>
      <c r="D140" s="3" t="inlineStr">
        <is>
          <t>Moved</t>
        </is>
      </c>
      <c r="E140" s="3" t="inlineStr">
        <is>
          <t>Oct 22 Thu 19:00 Dhaanush</t>
        </is>
      </c>
      <c r="F140" s="3" t="inlineStr">
        <is>
          <t>Oct 23 Fri 20:00 Dhaanush</t>
        </is>
      </c>
      <c r="G140" s="3" t="inlineStr">
        <is>
          <t>Round 3 (your response #59): Approved: out of the shared Thu 22 individual class; Dhaanush 8 PM batch (Friday)</t>
        </is>
      </c>
    </row>
    <row r="141">
      <c r="A141" s="3" t="n">
        <v>140</v>
      </c>
      <c r="B141" s="3" t="inlineStr">
        <is>
          <t>Kavinpriyan</t>
        </is>
      </c>
      <c r="C141" s="3" t="inlineStr">
        <is>
          <t>MKS00023</t>
        </is>
      </c>
      <c r="D141" s="3" t="inlineStr">
        <is>
          <t>Moved</t>
        </is>
      </c>
      <c r="E141" s="3" t="inlineStr">
        <is>
          <t>Oct 6 Tue 18:00 Dhaanush</t>
        </is>
      </c>
      <c r="F141" s="3" t="inlineStr">
        <is>
          <t>Oct 5 Mon 20:00 Dhaanush</t>
        </is>
      </c>
      <c r="G141" s="3" t="inlineStr">
        <is>
          <t>Round 3 (your response #5): Your answer: keep Kavinpriyan in the Dhaanush 8 PM batch on Monday and Friday</t>
        </is>
      </c>
    </row>
    <row r="142">
      <c r="A142" s="3" t="n">
        <v>141</v>
      </c>
      <c r="B142" s="3" t="inlineStr">
        <is>
          <t>Kavinpriyan</t>
        </is>
      </c>
      <c r="C142" s="3" t="inlineStr">
        <is>
          <t>MKS00023</t>
        </is>
      </c>
      <c r="D142" s="3" t="inlineStr">
        <is>
          <t>Moved</t>
        </is>
      </c>
      <c r="E142" s="3" t="inlineStr">
        <is>
          <t>Oct 27 Tue 18:00 Dhaanush</t>
        </is>
      </c>
      <c r="F142" s="3" t="inlineStr">
        <is>
          <t>Oct 26 Mon 20:00 Dhaanush</t>
        </is>
      </c>
      <c r="G142" s="3" t="inlineStr">
        <is>
          <t>Round 3 (your response #16): Your answer: keep Kavinpriyan in the Dhaanush 8 PM batch on Monday and Friday</t>
        </is>
      </c>
    </row>
    <row r="143">
      <c r="A143" s="3" t="n">
        <v>142</v>
      </c>
      <c r="B143" s="3" t="inlineStr">
        <is>
          <t>Jeevith. N.M</t>
        </is>
      </c>
      <c r="C143" s="3" t="inlineStr">
        <is>
          <t>MKS00224</t>
        </is>
      </c>
      <c r="D143" s="3" t="inlineStr">
        <is>
          <t>Moved</t>
        </is>
      </c>
      <c r="E143" s="3" t="inlineStr">
        <is>
          <t>Oct 24 Sat 20:00 Bathri</t>
        </is>
      </c>
      <c r="F143" s="3" t="inlineStr">
        <is>
          <t>Oct 30 Fri 19:00 Prakash</t>
        </is>
      </c>
      <c r="G143" s="3" t="inlineStr">
        <is>
          <t>Round 3 (your response #64): Approved: Fri 30 19:00 Prakash batch</t>
        </is>
      </c>
    </row>
    <row r="144">
      <c r="A144" s="3" t="n">
        <v>143</v>
      </c>
      <c r="B144" s="3" t="inlineStr">
        <is>
          <t>Adhigan Amarnath</t>
        </is>
      </c>
      <c r="C144" s="3" t="inlineStr">
        <is>
          <t>MKS00204</t>
        </is>
      </c>
      <c r="D144" s="3" t="inlineStr">
        <is>
          <t>Moved</t>
        </is>
      </c>
      <c r="E144" s="3" t="inlineStr">
        <is>
          <t>Oct 13 Tue 19:00 Abinaya</t>
        </is>
      </c>
      <c r="F144" s="3" t="inlineStr">
        <is>
          <t>Oct 14 Wed 17:00 Prakash</t>
        </is>
      </c>
      <c r="G144" s="3" t="inlineStr">
        <is>
          <t>Round 3 (your response #41): Not 5 PM Abinaya: moved to another batch (Basic 2 + Beginner 1)</t>
        </is>
      </c>
    </row>
    <row r="145">
      <c r="A145" s="3" t="n">
        <v>144</v>
      </c>
      <c r="B145" s="3" t="inlineStr">
        <is>
          <t>Adhigan Amarnath</t>
        </is>
      </c>
      <c r="C145" s="3" t="inlineStr">
        <is>
          <t>MKS00204</t>
        </is>
      </c>
      <c r="D145" s="3" t="inlineStr">
        <is>
          <t>Moved</t>
        </is>
      </c>
      <c r="E145" s="3" t="inlineStr">
        <is>
          <t>Oct 20 Tue 19:00 Abinaya</t>
        </is>
      </c>
      <c r="F145" s="3" t="inlineStr">
        <is>
          <t>Oct 21 Wed 17:00 Prakash</t>
        </is>
      </c>
      <c r="G145" s="3" t="inlineStr">
        <is>
          <t>Round 3 (your response #55): Not 5 PM Abinaya: moved to another batch (Basic 2 + Beginner 1)</t>
        </is>
      </c>
    </row>
    <row r="146">
      <c r="A146" s="3" t="n">
        <v>145</v>
      </c>
      <c r="B146" s="3" t="inlineStr">
        <is>
          <t>A.Bavinesh</t>
        </is>
      </c>
      <c r="C146" s="3" t="inlineStr">
        <is>
          <t>MKS00214</t>
        </is>
      </c>
      <c r="D146" s="3" t="inlineStr">
        <is>
          <t>Moved</t>
        </is>
      </c>
      <c r="E146" s="3" t="inlineStr">
        <is>
          <t>Oct 30 Fri 19:00 Abinaya</t>
        </is>
      </c>
      <c r="F146" s="3" t="inlineStr">
        <is>
          <t>Oct 23 Fri 19:00 Abinaya</t>
        </is>
      </c>
      <c r="G146" s="3" t="inlineStr">
        <is>
          <t>Round 3 (your response #69): Match with Basic 1 students only</t>
        </is>
      </c>
    </row>
    <row r="147">
      <c r="A147" s="3" t="n">
        <v>146</v>
      </c>
      <c r="B147" s="3" t="inlineStr">
        <is>
          <t>Sudharshika</t>
        </is>
      </c>
      <c r="C147" s="3" t="inlineStr"/>
      <c r="D147" s="3" t="inlineStr">
        <is>
          <t>Highlighted (yellow)</t>
        </is>
      </c>
      <c r="E147" s="3" t="inlineStr">
        <is>
          <t>Oct 6 Tue 19:00 Abinaya</t>
        </is>
      </c>
      <c r="F147" s="3" t="inlineStr">
        <is>
          <t>Left as is for manual matching</t>
        </is>
      </c>
      <c r="G147" s="3" t="inlineStr">
        <is>
          <t>Round 3 (your response #29): No batch with the right level, coach and seat was found - highlighted for manual matching</t>
        </is>
      </c>
    </row>
    <row r="148">
      <c r="A148" s="3" t="n">
        <v>147</v>
      </c>
      <c r="B148" s="3" t="inlineStr">
        <is>
          <t>Sudharshika</t>
        </is>
      </c>
      <c r="C148" s="3" t="inlineStr"/>
      <c r="D148" s="3" t="inlineStr">
        <is>
          <t>Highlighted (yellow)</t>
        </is>
      </c>
      <c r="E148" s="3" t="inlineStr">
        <is>
          <t>Oct 9 Fri 19:00 Abinaya</t>
        </is>
      </c>
      <c r="F148" s="3" t="inlineStr">
        <is>
          <t>Left as is for manual matching</t>
        </is>
      </c>
      <c r="G148" s="3" t="inlineStr">
        <is>
          <t>Round 3 (your response #34): No batch with the right level, coach and seat was found - highlighted for manual matching</t>
        </is>
      </c>
    </row>
    <row r="149">
      <c r="A149" s="3" t="n">
        <v>148</v>
      </c>
      <c r="B149" s="3" t="inlineStr">
        <is>
          <t>Sudharshika</t>
        </is>
      </c>
      <c r="C149" s="3" t="inlineStr"/>
      <c r="D149" s="3" t="inlineStr">
        <is>
          <t>Highlighted (yellow)</t>
        </is>
      </c>
      <c r="E149" s="3" t="inlineStr">
        <is>
          <t>Oct 17 Sat 19:00 Abinaya</t>
        </is>
      </c>
      <c r="F149" s="3" t="inlineStr">
        <is>
          <t>Left as is for manual matching</t>
        </is>
      </c>
      <c r="G149" s="3" t="inlineStr">
        <is>
          <t>Round 3 (your response #50): No batch with the right level, coach and seat was found - highlighted for manual matching</t>
        </is>
      </c>
    </row>
    <row r="150">
      <c r="A150" s="3" t="n">
        <v>149</v>
      </c>
      <c r="B150" s="3" t="inlineStr">
        <is>
          <t>Sudharshika</t>
        </is>
      </c>
      <c r="C150" s="3" t="inlineStr"/>
      <c r="D150" s="3" t="inlineStr">
        <is>
          <t>Highlighted (yellow)</t>
        </is>
      </c>
      <c r="E150" s="3" t="inlineStr">
        <is>
          <t>Oct 20 Tue 19:00 Abinaya</t>
        </is>
      </c>
      <c r="F150" s="3" t="inlineStr">
        <is>
          <t>Left as is for manual matching</t>
        </is>
      </c>
      <c r="G150" s="3" t="inlineStr">
        <is>
          <t>Round 3 (your response #54): No batch with the right level, coach and seat was found - highlighted for manual matching</t>
        </is>
      </c>
    </row>
    <row r="151">
      <c r="A151" s="3" t="n">
        <v>150</v>
      </c>
      <c r="B151" s="3" t="inlineStr">
        <is>
          <t>B.SAI SRI</t>
        </is>
      </c>
      <c r="C151" s="3" t="inlineStr"/>
      <c r="D151" s="3" t="inlineStr">
        <is>
          <t>Highlighted (yellow)</t>
        </is>
      </c>
      <c r="E151" s="3" t="inlineStr">
        <is>
          <t>Oct 17 Sat 19:00 Abinaya</t>
        </is>
      </c>
      <c r="F151" s="3" t="inlineStr">
        <is>
          <t>Left as is for manual matching</t>
        </is>
      </c>
      <c r="G151" s="3" t="inlineStr">
        <is>
          <t>Round 3 (your response #49): No batch with the right level, coach and seat was found - highlighted for manual matching</t>
        </is>
      </c>
    </row>
    <row r="152">
      <c r="A152" s="3" t="n">
        <v>151</v>
      </c>
      <c r="B152" s="3" t="inlineStr">
        <is>
          <t>Aaradheya P</t>
        </is>
      </c>
      <c r="C152" s="3" t="inlineStr"/>
      <c r="D152" s="3" t="inlineStr">
        <is>
          <t>Highlighted (yellow)</t>
        </is>
      </c>
      <c r="E152" s="3" t="inlineStr">
        <is>
          <t>Oct 24 Sat 19:00 Abinaya</t>
        </is>
      </c>
      <c r="F152" s="3" t="inlineStr">
        <is>
          <t>Left as is for manual matching</t>
        </is>
      </c>
      <c r="G152" s="3" t="inlineStr">
        <is>
          <t>Round 3 (your response #62): Needs a Basic 1 batch with Chanvika only (coach Abinaya or Manikandan); no common day/slot found - highlighted</t>
        </is>
      </c>
    </row>
    <row r="153">
      <c r="A153" s="3" t="n">
        <v>152</v>
      </c>
      <c r="B153" s="3" t="inlineStr">
        <is>
          <t>Sri Varshini</t>
        </is>
      </c>
      <c r="C153" s="3" t="inlineStr"/>
      <c r="D153" s="3" t="inlineStr">
        <is>
          <t>Highlighted (yellow)</t>
        </is>
      </c>
      <c r="E153" s="3" t="inlineStr">
        <is>
          <t>Oct 31 Sat 19:00 Abinaya</t>
        </is>
      </c>
      <c r="F153" s="3" t="inlineStr">
        <is>
          <t>Left as is for manual matching</t>
        </is>
      </c>
      <c r="G153" s="3" t="inlineStr">
        <is>
          <t>Round 3 (your response #71): Her suggested batch no longer exists (Guru batch not approved); needs a Basic 1 batch - highlighted</t>
        </is>
      </c>
    </row>
  </sheetData>
  <autoFilter ref="A1:G5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C20" sqref="C20"/>
    </sheetView>
  </sheetViews>
  <sheetFormatPr baseColWidth="8" defaultRowHeight="13.2"/>
  <cols>
    <col width="24" customWidth="1" min="1" max="1"/>
    <col width="26" customWidth="1" min="2" max="2"/>
    <col width="70" customWidth="1" min="3" max="4"/>
    <col width="62.21875" bestFit="1" customWidth="1" min="6" max="6"/>
    <col width="60" customWidth="1" min="7" max="7"/>
  </cols>
  <sheetData>
    <row r="1" ht="15" customHeight="1">
      <c r="A1" s="36" t="inlineStr">
        <is>
          <t>Type</t>
        </is>
      </c>
      <c r="B1" s="36" t="inlineStr">
        <is>
          <t>Student / item</t>
        </is>
      </c>
      <c r="C1" s="36" t="inlineStr">
        <is>
          <t>Issue</t>
        </is>
      </c>
      <c r="D1" s="36" t="inlineStr">
        <is>
          <t>Suggestion (not confirmed)</t>
        </is>
      </c>
      <c r="E1" s="43" t="inlineStr">
        <is>
          <t>Prakash Approval</t>
        </is>
      </c>
      <c r="F1" s="43" t="inlineStr">
        <is>
          <t>Comments</t>
        </is>
      </c>
      <c r="G1" s="87" t="inlineStr">
        <is>
          <t>Status after this update</t>
        </is>
      </c>
    </row>
    <row r="2" ht="15" customHeight="1">
      <c r="A2" s="3" t="inlineStr">
        <is>
          <t>PENDING (still yellow)</t>
        </is>
      </c>
      <c r="B2" s="3" t="inlineStr">
        <is>
          <t>Kavinpriyan</t>
        </is>
      </c>
      <c r="C2" s="3" t="inlineStr">
        <is>
          <t>Sat 3 and Sat 31, 18:00 Dhaanush. The Sat 18:00 batch has 4 students (Nithesh, Thivya, Reyhan + her). Sat 20:00 Dhaanush was not approved. Nithesh is now Int 1, so he cannot sit with her (Early Int 1).</t>
        </is>
      </c>
      <c r="D2" s="41" t="inlineStr">
        <is>
          <t>She is only available Tue/Thu/Sat. Option: new Early Int 1 Sat 18:00 batch with a free trainer (Sat 3 and Sat 31 both free: Abinaya, Bathri, Guru, Manikandan). It needs an Early Int 1 partner (Madesh, Aarav or Rohith - their availability needs your OK). Left unchanged until you choose.</t>
        </is>
      </c>
      <c r="E2" s="42" t="inlineStr">
        <is>
          <t>Approved</t>
        </is>
      </c>
      <c r="G2" s="7" t="inlineStr">
        <is>
          <t>Done. Kavinpriyan now: Thu 1/8/15 Dhaanush 18:00, new batch with Rohith Sat 3/10/17/31 and Tue 13/20 (Manikandan 18:00), Mon 5, Mon 26 and Fri 23 in the Dhaanush 8 PM batch (your answer). No yellow left.</t>
        </is>
      </c>
    </row>
    <row r="3" ht="15" customHeight="1">
      <c r="A3" s="3" t="inlineStr">
        <is>
          <t>PENDING (still yellow)</t>
        </is>
      </c>
      <c r="B3" s="3" t="inlineStr">
        <is>
          <t>Samuel Rajan</t>
        </is>
      </c>
      <c r="C3" s="3" t="inlineStr">
        <is>
          <t>Mon 5 19:00 Dhaanush. This is an Early Int 1 group batch and he is Int 1. The new Int 1 group Mon 5 20:00 Saravanan was not approved.</t>
        </is>
      </c>
      <c r="D3" s="41" t="inlineStr">
        <is>
          <t>Option: Sat 3 19:00 Saravanan, an existing Int 1 batch with 3 students (Nishikesh, Vedhanth, Diya), replacing Mon 5. Please confirm or give another slot.</t>
        </is>
      </c>
      <c r="E3" s="42" t="inlineStr">
        <is>
          <t>Approved</t>
        </is>
      </c>
      <c r="G3" s="7" t="inlineStr">
        <is>
          <t>Done: Samuel moved to Sat 3 19:00 Saravanan.</t>
        </is>
      </c>
    </row>
    <row r="4" ht="15" customHeight="1">
      <c r="A4" s="3" t="inlineStr">
        <is>
          <t>Needs your confirmation</t>
        </is>
      </c>
      <c r="B4" s="3" t="inlineStr">
        <is>
          <t>Nithesh</t>
        </is>
      </c>
      <c r="C4" s="3" t="inlineStr">
        <is>
          <t>Thu 1 18:00 is a new 1-student Limited batch with Arshath, because Thivya and Reyhan do not attend on Thu 1 and no Int 1 / Int 2 partner is free.</t>
        </is>
      </c>
      <c r="D4" s="3" t="inlineStr">
        <is>
          <t>Dhaanush also works if you prefer his previous trainer (he is free at 18:00 on Thu 1 if Kavinpriyan/Rohith are given another trainer).</t>
        </is>
      </c>
      <c r="E4" s="42" t="inlineStr">
        <is>
          <t>Approved</t>
        </is>
      </c>
      <c r="F4" s="42" t="inlineStr">
        <is>
          <t>Keep Kavinpriyan as his partner if needed but Rohit is not a match for him</t>
        </is>
      </c>
      <c r="G4" s="88" t="inlineStr">
        <is>
          <t>Done: Rohith taken out of the Thu 1 batch; Kavinpriyan kept as Nithesh's Thursday partner. Thu 1 stays with Dhaanush as in your file.</t>
        </is>
      </c>
    </row>
    <row r="5" ht="15" customHeight="1">
      <c r="A5" s="3" t="inlineStr">
        <is>
          <t>Needs your confirmation</t>
        </is>
      </c>
      <c r="B5" s="3" t="inlineStr">
        <is>
          <t>Nithesh</t>
        </is>
      </c>
      <c r="C5" s="3" t="inlineStr">
        <is>
          <t>Level change to Int 1 makes his other 6 PM batches invalid wherever Early Int 1 students sit with him: Tue/Sat 18:00 with Kavinpriyan (4 students), and Thu 8, Thu 15 and Mon 26 with Kavinpriyan, Madesh or Nethran. These cells are not yellow, so I left them unchanged.</t>
        </is>
      </c>
      <c r="D5" s="3" t="inlineStr">
        <is>
          <t>Resolve together with Kavinpriyan above: Nithesh + Thivya + Reyhan stays as the 3-student Limited batch once Kavinpriyan has a new slot.</t>
        </is>
      </c>
      <c r="E5" s="42" t="inlineStr">
        <is>
          <t>Approved</t>
        </is>
      </c>
      <c r="G5" s="7" t="inlineStr">
        <is>
          <t>Done. Kavinpriyan is out of every Tue/Sat 18:00 batch, so Nithesh, Thivya and Reyhan are 3 students.</t>
        </is>
      </c>
    </row>
    <row r="6" ht="15" customHeight="1">
      <c r="A6" s="3" t="inlineStr">
        <is>
          <t>Needs your confirmation</t>
        </is>
      </c>
      <c r="B6" s="3" t="inlineStr">
        <is>
          <t>Rohith</t>
        </is>
      </c>
      <c r="C6" s="3" t="inlineStr">
        <is>
          <t>Mon 5 18:00 and Tue 27 18:00 Prakash are Beginner groups (some Beginner 1 partners). Placed as you said (treat as Beginner 2 / Early Int 1).</t>
        </is>
      </c>
      <c r="D6" s="3" t="inlineStr">
        <is>
          <t>His Fri 9 and Fri 16 19:00 Dhaanush classes (and Sun 11 AM Hema, Mon 6 AM) are not yellow but conflict with his 5/6 PM only availability. Left untouched.</t>
        </is>
      </c>
      <c r="E6" s="42" t="inlineStr">
        <is>
          <t>Not Approved</t>
        </is>
      </c>
      <c r="F6" s="42" t="inlineStr">
        <is>
          <t>It is really a conflict. Mistakenly not highlighted. He is available at 5pm and 6pm batch is true.</t>
        </is>
      </c>
      <c r="G6" s="88" t="inlineStr">
        <is>
          <t>Done for Thu 1, Fri 9, Fri 16, Mon 12, Mon 19 and Mon 26 (now 6 PM, Saturday/Tuesday batches). Sunday 11 AM Hema classes are still open.</t>
        </is>
      </c>
    </row>
    <row r="7" ht="15" customHeight="1">
      <c r="A7" s="3" t="inlineStr">
        <is>
          <t>Needs your confirmation</t>
        </is>
      </c>
      <c r="B7" s="3" t="inlineStr">
        <is>
          <t>Nethran</t>
        </is>
      </c>
      <c r="C7" s="3" t="inlineStr">
        <is>
          <t>Thu 8 18:00 replaced by Sun 11 10:00 Abinaya (Early Int tournament, same week). No weekday 8 PM batch with Beginner 2 / Early Int partners had a free seat.</t>
        </is>
      </c>
      <c r="D7" s="3" t="inlineStr">
        <is>
          <t>Confirm, or give a weekday 8 PM batch.</t>
        </is>
      </c>
      <c r="E7" s="42" t="inlineStr">
        <is>
          <t>Approved</t>
        </is>
      </c>
      <c r="G7" s="7" t="inlineStr">
        <is>
          <t>Approved - no change needed.</t>
        </is>
      </c>
    </row>
    <row r="8" ht="15" customHeight="1">
      <c r="A8" s="3" t="inlineStr">
        <is>
          <t>Needs your confirmation</t>
        </is>
      </c>
      <c r="B8" s="3" t="inlineStr">
        <is>
          <t>Kirthik</t>
        </is>
      </c>
      <c r="C8" s="3" t="inlineStr">
        <is>
          <t>Wed 7 16:00 replaced by Sat 3 06:00 Prakash (Prakash free after Aadhav moved). Your note says 7 AM, but his sheet note and all his classes are 6 AM.</t>
        </is>
      </c>
      <c r="D8" s="3" t="inlineStr">
        <is>
          <t>Confirm 6 AM or 7 AM.</t>
        </is>
      </c>
      <c r="E8" s="42" t="inlineStr">
        <is>
          <t>6am</t>
        </is>
      </c>
      <c r="G8" s="7" t="inlineStr">
        <is>
          <t>Approved (6 AM) - no change needed.</t>
        </is>
      </c>
    </row>
    <row r="9" ht="15" customHeight="1">
      <c r="A9" s="3" t="inlineStr">
        <is>
          <t>Needs your confirmation</t>
        </is>
      </c>
      <c r="B9" s="3" t="inlineStr">
        <is>
          <t>Kanishk</t>
        </is>
      </c>
      <c r="C9" s="3" t="inlineStr">
        <is>
          <t>Wed 14 06:00 moved to Sat 10 20:00 Guru (Beginner group, 8/8 with him). Thatchirasree is in Sat 10 20:00 Bathri, which is full (8/8).</t>
        </is>
      </c>
      <c r="D9" s="3" t="inlineStr">
        <is>
          <t>Confirm.</t>
        </is>
      </c>
      <c r="E9" s="42" t="inlineStr">
        <is>
          <t>Approved</t>
        </is>
      </c>
      <c r="G9" s="7" t="inlineStr">
        <is>
          <t>Approved - no change needed.</t>
        </is>
      </c>
    </row>
    <row r="10" ht="15" customHeight="1">
      <c r="A10" s="3" t="inlineStr">
        <is>
          <t>Needs your confirmation</t>
        </is>
      </c>
      <c r="B10" s="3" t="inlineStr">
        <is>
          <t>Mounitha, Nithesh</t>
        </is>
      </c>
      <c r="C10" s="3" t="inlineStr">
        <is>
          <t>Trainers suggested: Arshath for Mounitha (Mon 5, Wed 7, Mon 12 at 19:00) because Manikandan is not available at 7 PM; Arshath for Nithesh Thu 1.</t>
        </is>
      </c>
      <c r="D10" s="3" t="inlineStr">
        <is>
          <t>Confirm trainers.</t>
        </is>
      </c>
      <c r="E10" s="42" t="inlineStr">
        <is>
          <t>Not Approved</t>
        </is>
      </c>
      <c r="F10" s="42" t="inlineStr">
        <is>
          <t>Arshath not available for Nithesh on that time. Arshath don’t take Basic or Beginner batches. Find if Abinaya or Bathri or Prakash is available</t>
        </is>
      </c>
      <c r="G10" s="88" t="inlineStr">
        <is>
          <t>Mounitha: Fri 2 now 18:00 Prakash, Wed 7 Prakash, Mon 12 Bathri. Mon 5 is still open (see below).</t>
        </is>
      </c>
    </row>
    <row r="11" ht="15" customHeight="1">
      <c r="A11" s="3" t="inlineStr">
        <is>
          <t>Needs your confirmation</t>
        </is>
      </c>
      <c r="B11" s="3" t="inlineStr">
        <is>
          <t>Fri 2 Int 2 batch</t>
        </is>
      </c>
      <c r="C11" s="3" t="inlineStr">
        <is>
          <t>All 7 Int 2 students at Fri 2 17:30 Arshath. Other Fridays (9, 16, 23, 30) still at 17:00 with 4 students because they are not yellow.</t>
        </is>
      </c>
      <c r="D11" s="3" t="inlineStr">
        <is>
          <t>Tell me if you want 17:30 on the other Fridays too.</t>
        </is>
      </c>
      <c r="E11" s="42" t="inlineStr">
        <is>
          <t>Yes</t>
        </is>
      </c>
      <c r="F11" s="42" t="inlineStr">
        <is>
          <t>All Fridays at 5.30pm for all Intermediate2 level students</t>
        </is>
      </c>
      <c r="G11" s="88" t="inlineStr">
        <is>
          <t>Done: Fri 16 and Fri 30 5:30 PM Arshath batches now have all 7 Int 2 students. Thursday 22 batch removed for Sachin and Vivaan.</t>
        </is>
      </c>
    </row>
    <row r="12" ht="15" customHeight="1">
      <c r="A12" s="3" t="inlineStr">
        <is>
          <t>Not changed (not yellow)</t>
        </is>
      </c>
      <c r="B12" s="3" t="inlineStr">
        <is>
          <t>Sat 21:00 Bathri (Oct 10, 17, 24)</t>
        </is>
      </c>
      <c r="C12" s="3" t="inlineStr">
        <is>
          <t>Sri Dharshini and Varunesh still have 21:00 Saturday classes, which fall outside academy hours (ends 9 PM), and they share the batch with Individual student Vaishnavi/Vaibhavi.</t>
        </is>
      </c>
      <c r="D12" s="3" t="inlineStr">
        <is>
          <t>Same fix as Sat 3 needed; give me the approved slots.</t>
        </is>
      </c>
      <c r="F12" s="44" t="inlineStr">
        <is>
          <t>Saturday Sri Dharshii not available but varunesh available, If Sri dharshini could not fill 16 classes, its okay, fill maximum classes and provide the not scheduled numbers, let us do it manually</t>
        </is>
      </c>
      <c r="G12" s="89" t="inlineStr">
        <is>
          <t>Done: Sri Dharshini now has 16 classes (new 7 PM slots with Prakash on Oct 1, 8, 21, 22, 23). Her Saturday classes are removed.</t>
        </is>
      </c>
    </row>
    <row r="13" ht="15" customHeight="1">
      <c r="A13" s="3" t="inlineStr">
        <is>
          <t>Not changed (not yellow)</t>
        </is>
      </c>
      <c r="B13" s="3" t="inlineStr">
        <is>
          <t>Other Limited batches with 4+ students</t>
        </is>
      </c>
      <c r="C13" s="3" t="inlineStr">
        <is>
          <t>Many other weekly Limited batches still show 4 students (e.g. Mon/Wed/Fri 19:00 Abinaya Basic group, Wed 17:00 Bathri with Oviya, Fri 20:00 Bathri with Dev, Fri 17:00 Arshath).</t>
        </is>
      </c>
      <c r="D13" s="3" t="inlineStr">
        <is>
          <t>Your rule is max 3 in every Limited batch for the month. These cells are not yellow, so I did not move them. Say the word and I will propose slots.</t>
        </is>
      </c>
      <c r="F13" s="44" t="inlineStr">
        <is>
          <t>Missed to highlight in yellow but the rule is 3 students only in limited batch</t>
        </is>
      </c>
      <c r="G13" s="89" t="inlineStr">
        <is>
          <t>Open - every class still over 3 is listed in the Remaining Problems file.</t>
        </is>
      </c>
    </row>
    <row r="14" ht="15" customHeight="1">
      <c r="A14" s="3" t="inlineStr">
        <is>
          <t>Not changed (not yellow)</t>
        </is>
      </c>
      <c r="B14" s="3" t="inlineStr">
        <is>
          <t>Devansh, Oviya</t>
        </is>
      </c>
      <c r="C14" s="3" t="inlineStr">
        <is>
          <t>Devansh has other classes at 16:00 (should be 4:30 PM). Oviya Sun 11/18/25 at 13:00 and some weekday batches are with Beginner 1 students.</t>
        </is>
      </c>
      <c r="D14" s="3" t="inlineStr">
        <is>
          <t>Left untouched under the strict-modification rule.</t>
        </is>
      </c>
      <c r="F14" s="44" t="inlineStr">
        <is>
          <t>Change Devansh Classes to 4.30pm on Monday and Wednesday. Oviya should be combine with any beginner2 batch students on any time in weekdays and on Sunday at 11am Manikandan batch</t>
        </is>
      </c>
      <c r="G14" s="89" t="inlineStr">
        <is>
          <t>Devansh is already 4:30 PM on Mon and Wed. Oviya moved to Beginner 2 batches (weekdays) and Sunday 11 AM Manikandan.</t>
        </is>
      </c>
    </row>
    <row r="15">
      <c r="B15" s="42" t="inlineStr">
        <is>
          <t>Kavibharathi</t>
        </is>
      </c>
      <c r="F15" s="44" t="inlineStr">
        <is>
          <t>Kavibharathi is not available from October. So we have removed her name</t>
        </is>
      </c>
      <c r="G15" s="89" t="inlineStr">
        <is>
          <t>Already removed in your file.</t>
        </is>
      </c>
    </row>
    <row r="16">
      <c r="B16" s="42" t="inlineStr">
        <is>
          <t>Diya</t>
        </is>
      </c>
      <c r="F16" s="44" t="inlineStr">
        <is>
          <t>Diya is not available from October. So we have removed her name</t>
        </is>
      </c>
      <c r="G16" s="89" t="inlineStr">
        <is>
          <t>Already removed in your file.</t>
        </is>
      </c>
    </row>
    <row r="18" ht="26.4" customHeight="1">
      <c r="B18" s="33" t="inlineStr">
        <is>
          <t>Oviya B</t>
        </is>
      </c>
      <c r="F18" s="50" t="inlineStr">
        <is>
          <t>Wednesday 5pm slot not available with trainer bathri as he is engaed in 4.30pm to 5.30pm with Devansh</t>
        </is>
      </c>
      <c r="G18" s="90" t="inlineStr">
        <is>
          <t>Done: Oviya in Beginner 2 batches.</t>
        </is>
      </c>
    </row>
    <row r="19" ht="26.4" customHeight="1">
      <c r="B19" s="33" t="inlineStr">
        <is>
          <t>M VARUNESH PANDI</t>
        </is>
      </c>
      <c r="F19" s="50" t="inlineStr">
        <is>
          <t>Wednesday 5pm slot not available with trainer bathri as he is engaed in 4.30pm to 5.30pm with Devansh</t>
        </is>
      </c>
      <c r="G19" s="90" t="inlineStr">
        <is>
          <t>Done: Varunesh Wed 7 and 28 at 20:00 Manikandan.</t>
        </is>
      </c>
    </row>
    <row r="20" ht="26.4" customHeight="1">
      <c r="B20" s="16" t="inlineStr">
        <is>
          <t>Jovinya</t>
        </is>
      </c>
      <c r="F20" s="50" t="inlineStr">
        <is>
          <t>Wednesday 5pm slot not available with trainer bathri as he is engaed in 4.30pm to 5.30pm with Devansh</t>
        </is>
      </c>
      <c r="G20" s="90" t="inlineStr">
        <is>
          <t>Done: Jovinya Wed 17:00 now with Prakash (Abinaya is not available at 5 PM Mon-Fri).</t>
        </is>
      </c>
    </row>
    <row r="21" ht="26.4" customHeight="1">
      <c r="B21" s="16" t="inlineStr">
        <is>
          <t>S.V.Kavisree</t>
        </is>
      </c>
      <c r="F21" s="50" t="inlineStr">
        <is>
          <t>Wednesday 5pm slot not available with trainer bathri as he is engaed in 4.30pm to 5.30pm with Devansh</t>
        </is>
      </c>
      <c r="G21" s="90" t="inlineStr">
        <is>
          <t>Done: Kavisree Wed 17:00 now with Prakash (Abinaya is not available at 5 PM Mon-Fri).</t>
        </is>
      </c>
    </row>
    <row r="22">
      <c r="A22" s="3" t="inlineStr">
        <is>
          <t>Open (round 3)</t>
        </is>
      </c>
      <c r="B22" s="3" t="inlineStr">
        <is>
          <t>Mounitha - Mon 5 19:00 Arshath (yellow)</t>
        </is>
      </c>
      <c r="C22" s="3" t="inlineStr">
        <is>
          <t>Arshath does not take Basic/Beginner. You approved 6 PM, but Prakash is busy at 18:00 that day and Abinaya is not available at 6 PM Mon-Fri.</t>
        </is>
      </c>
      <c r="D22" s="3" t="inlineStr">
        <is>
          <t>Manikandan is free at 18:00 on Mon 5 (his issue is only 7 PM). Use Mon 5 18:00 Manikandan?</t>
        </is>
      </c>
      <c r="G22" s="7" t="inlineStr">
        <is>
          <t>Open</t>
        </is>
      </c>
    </row>
    <row r="23">
      <c r="A23" s="3" t="inlineStr">
        <is>
          <t>Open (round 3)</t>
        </is>
      </c>
      <c r="B23" s="3" t="inlineStr">
        <is>
          <t>Sudharshika (Oct 6, 9, 17, 20) and B Sai (Oct 17) - yellow</t>
        </is>
      </c>
      <c r="C23" s="3" t="inlineStr">
        <is>
          <t>Must be matched only with Basic 2 students. No existing Basic 2-only batch has a seat at an allowed time.</t>
        </is>
      </c>
      <c r="D23" s="3" t="inlineStr">
        <is>
          <t>Highlighted for manual matching. Option: take the Basic 1 students (Aaradheya, Sri Varshini, Tijesh) out of those Abinaya 19:00 classes instead, so the rest are Basic 2 only.</t>
        </is>
      </c>
      <c r="G23" s="7" t="inlineStr">
        <is>
          <t>Open</t>
        </is>
      </c>
    </row>
    <row r="24">
      <c r="A24" s="3" t="inlineStr">
        <is>
          <t>Open (round 3)</t>
        </is>
      </c>
      <c r="B24" s="3" t="inlineStr">
        <is>
          <t>Aaradheya Oct 24 and Sri Varshini Oct 31 - yellow</t>
        </is>
      </c>
      <c r="C24" s="3" t="inlineStr">
        <is>
          <t>Basic 1 students are still in a Basic 2 class. Chanvika has no class that day for a Chanvika + Aaradheya batch; the Guru batch was not approved.</t>
        </is>
      </c>
      <c r="D24" s="3" t="inlineStr">
        <is>
          <t>Highlighted. Tell me the day for a new Basic 1 batch (Chanvika, Aaradheya, Sri Varshini) with Abinaya or Manikandan.</t>
        </is>
      </c>
      <c r="G24" s="7" t="inlineStr">
        <is>
          <t>Open</t>
        </is>
      </c>
    </row>
    <row r="25">
      <c r="A25" s="3" t="inlineStr">
        <is>
          <t>Open (round 3)</t>
        </is>
      </c>
      <c r="B25" s="3" t="inlineStr">
        <is>
          <t>Sachin and Vivaan</t>
        </is>
      </c>
      <c r="C25" s="3" t="inlineStr">
        <is>
          <t>10 of 12 classes: only Fri 16 17:30 was added for Oct 15-21. Thursday is not allowed for them (Friday-only combined batch), so the Thu 15 move was not applied. Sun 11 17:30 is still there.</t>
        </is>
      </c>
      <c r="D25" s="3" t="inlineStr">
        <is>
          <t>Add Sat 17 17:00 and Sun 18 10:00 Arshath (their usual Sat/Sun slots) and set Sun 11 to 10:00. Please confirm.</t>
        </is>
      </c>
      <c r="G25" s="7" t="inlineStr">
        <is>
          <t>Open</t>
        </is>
      </c>
    </row>
    <row r="26">
      <c r="A26" s="3" t="inlineStr">
        <is>
          <t>Open (round 3)</t>
        </is>
      </c>
      <c r="B26" s="3" t="inlineStr">
        <is>
          <t>Akshadhasree and Anikha</t>
        </is>
      </c>
      <c r="C26" s="3" t="inlineStr">
        <is>
          <t>7 of 8 classes: only one class in Oct 15-21 (Sun 18).</t>
        </is>
      </c>
      <c r="D26" s="3" t="inlineStr">
        <is>
          <t>Add Sat 17 11:00 Bathri (their Saturday slot) if you approve.</t>
        </is>
      </c>
      <c r="G26" s="7" t="inlineStr">
        <is>
          <t>Open</t>
        </is>
      </c>
    </row>
    <row r="27">
      <c r="A27" s="3" t="inlineStr">
        <is>
          <t>Open (round 3)</t>
        </is>
      </c>
      <c r="B27" s="3" t="inlineStr">
        <is>
          <t>C V Chanvika Oct 10 and Sharwin (C S) Oct 15</t>
        </is>
      </c>
      <c r="C27" s="3" t="inlineStr">
        <is>
          <t>Your answer for Chanvika (Oct 10) was about Sharwin, so I made no change. Thu 15 20:00 Bathri keeps Sharwin as you said (Limited batch of 4).</t>
        </is>
      </c>
      <c r="D27" s="3" t="inlineStr">
        <is>
          <t>Confirm what to do with Chanvika Oct 10 19:00 Abinaya (Basic 1 with Basic 2 students).</t>
        </is>
      </c>
      <c r="G27" s="7" t="inlineStr">
        <is>
          <t>Open</t>
        </is>
      </c>
    </row>
    <row r="28">
      <c r="A28" s="3" t="inlineStr">
        <is>
          <t>Kept as you said</t>
        </is>
      </c>
      <c r="B28" s="3" t="inlineStr">
        <is>
          <t>Nithesh, Yaswanth, V.Dharmasastha, Jeevith, Rohith Sundays</t>
        </is>
      </c>
      <c r="C28" s="3" t="inlineStr">
        <is>
          <t>Nithesh keeps 14 classes (24 a month); Yaswanth stays in the Fri 8 PM Bathri batch; Dharma keeps Thu 8, 15, 22, 29; Jeevith stays at 8 PM (only Oct 24 moved); Rohith keeps Sunday 11 AM.</t>
        </is>
      </c>
      <c r="D28" s="3" t="inlineStr">
        <is>
          <t>No change.</t>
        </is>
      </c>
      <c r="G28" s="7" t="inlineStr">
        <is>
          <t>No change</t>
        </is>
      </c>
    </row>
  </sheetData>
  <autoFilter ref="A1:D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Prakash Guna</dc:creator>
  <dcterms:created xmlns:dcterms="http://purl.org/dc/terms/" xmlns:xsi="http://www.w3.org/2001/XMLSchema-instance" xsi:type="dcterms:W3CDTF">2026-04-06T16:14:45Z</dcterms:created>
  <dcterms:modified xmlns:dcterms="http://purl.org/dc/terms/" xmlns:xsi="http://www.w3.org/2001/XMLSchema-instance" xsi:type="dcterms:W3CDTF">2026-10-03T17:49:20Z</dcterms:modified>
  <cp:lastModifiedBy>Prakash Guna</cp:lastModifiedBy>
</cp:coreProperties>
</file>
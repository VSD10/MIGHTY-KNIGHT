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baseColWidth="8" defaultColWidth="8.6640625" defaultRowHeight="14.4"/>
  <cols>
    <col width="24" customWidth="1" min="1" max="1"/>
    <col width="36" customWidth="1" min="2" max="4"/>
    <col width="12" customWidth="1" min="5" max="5"/>
  </cols>
  <sheetData>
    <row r="1">
      <c r="A1" s="1" t="inlineStr">
        <is>
          <t>Level \ Batch</t>
        </is>
      </c>
      <c r="B1" s="1" t="inlineStr">
        <is>
          <t>Group Batch</t>
        </is>
      </c>
      <c r="C1" s="1" t="inlineStr">
        <is>
          <t>Limited Batch</t>
        </is>
      </c>
      <c r="D1" s="1" t="inlineStr">
        <is>
          <t>Individual Batch</t>
        </is>
      </c>
      <c r="E1" s="1" t="inlineStr">
        <is>
          <t>Level Total</t>
        </is>
      </c>
    </row>
    <row r="2" ht="67.5" customHeight="1">
      <c r="A2" s="2" t="inlineStr">
        <is>
          <t>Basic 1</t>
        </is>
      </c>
      <c r="B2" s="3" t="inlineStr">
        <is>
          <t>[GB1-01]
Nivashini (MKS00240)
Sri Varshini (MKS00232)
Aaradheya P (MKS00225)
B.V.Tijesh (MKS00219)
A.Bavinesh (MKS00214)</t>
        </is>
      </c>
      <c r="C2" s="3" t="inlineStr">
        <is>
          <t>[LB1-01]
C.V.Chanvika (MKS00196)</t>
        </is>
      </c>
      <c r="D2" s="3" t="inlineStr">
        <is>
          <t>[IB1-01]
Magizh (MKS00213)</t>
        </is>
      </c>
      <c r="E2" s="4">
        <f>SUMPRODUCT(LEN(B2:D2)-LEN(SUBSTITUTE(B2:D2,CHAR(10),""))+(LEN(B2:D2)&gt;0))-COUNTIF(B2:D2,"&lt;&gt;")</f>
        <v/>
      </c>
    </row>
    <row r="3" ht="94.5" customHeight="1">
      <c r="A3" s="2" t="inlineStr">
        <is>
          <t>Basic 2</t>
        </is>
      </c>
      <c r="B3" s="3" t="inlineStr">
        <is>
          <t>[GB2-01]
P KALAIMANI (MKS00241)
AMBARISH RAM A (MKS00235)
Prakanya. P (MKS00233)
J Jerwin (MKS00230)
Sudharshika (MKS00216)
B.SAI SRI (MKS00211)
S.P.NEHASRI (MKS00157) [A]</t>
        </is>
      </c>
      <c r="C3" s="3" t="inlineStr">
        <is>
          <t>[LB2-01]
Adhigan Amarnath (MKS00204)</t>
        </is>
      </c>
      <c r="D3" s="3" t="inlineStr">
        <is>
          <t>[IB2-01]
Saisuhana P (MKS00236)
S Mounitha (MKS00226)
Devansh gade (MKS00218)
Kaashvi Prakash (MKS00184)
Aadhav Mithun (MKS00170)
Viraaj Shanmugam (MKS00153)</t>
        </is>
      </c>
      <c r="E3" s="4">
        <f>SUMPRODUCT(LEN(B3:D3)-LEN(SUBSTITUTE(B3:D3,CHAR(10),""))+(LEN(B3:D3)&gt;0))-COUNTIF(B3:D3,"&lt;&gt;")</f>
        <v/>
      </c>
    </row>
    <row r="4" ht="409.6" customHeight="1">
      <c r="A4" s="2" t="inlineStr">
        <is>
          <t>Beginner 1</t>
        </is>
      </c>
      <c r="B4" s="3" t="inlineStr">
        <is>
          <t>[GBN1-01]
Sharvin.S.N (MKS00242)
B Mughil (MKS00239)
V Magizhnan karky (MKS00237)
Pughazharasan (MKS00234)
Nakshathra. C (MKS00227)
Jeevith. N.M (MKS00224)
R Logeshwaran (MKS00222)
Jayasudhan (MKS00220)
Kavinth P (MKS00217)
Nyvan (MKS00208)
Bhavadharani.B (MKS00203)
Thenamilthan.S (MKS00200)
S.Kavirenu (MKS00199)
S.Kabilan (MKS00198)
C S Sharwin (MKS00197) [B]
RITHIKNATH K.M (MKS00193)
Cholamithran BR (MKS00192)
BHAANAVI.V (MKS00189)
M.Srisaran (MKS00186)
Nirupan (MKS00185) [B]
Thiyashwar S (MKS00181)
Ridhanya Sri.V (MKS00178)
D R RAJAGOPALAN (MKS00176) [D]
Sarvesh K (MKS00175) [C]
A R Thatchiraa Shree (MKS00172) [S]
Nishwanth R (MKS00171)
Vikash (MKS00168) [C]
Charvi (MKS00163)
Mithra sree A (MKS00161)
S. Thashwin Raj (MKS00155) [C]
H V Kanishk (MKS00154) [C]
A.T.Vagish (MKS00149)
N.Charan (MKS00148)
yaazhini (MKS00147) [B]
HAASHINI  SHRIVY V (MKS00115)</t>
        </is>
      </c>
      <c r="C4" s="3" t="inlineStr">
        <is>
          <t>[LBN1-01]
M VARUNESH PANDI (MKS00166)
Dev dharsan (MKS00142)
S.V.Kavisree (MKS00111)
Jovinya (MKS00075)
Akshadhasree (MKS00067) [B]
Anikha (MKS00066) [B]
Bhumika sisti (MKS00015)</t>
        </is>
      </c>
      <c r="D4" s="3" t="inlineStr">
        <is>
          <t>[IBN1-01]
Vedhanth Gaddam (MKS00238)
Vikaesh (MKS00221)
Vaishnavi Krishna &amp; vaibhavi Krishna (MKS00165 &amp; MKS00164)
Priyan (MKS00162)
Pugazhini Navaneethan (MKS00156)
P.V Subhiksha (MKS00150)
V. Dhaksha (MKS00110)
Syed Individual (MKS00076)</t>
        </is>
      </c>
      <c r="E4" s="4">
        <f>SUMPRODUCT(LEN(B4:D4)-LEN(SUBSTITUTE(B4:D4,CHAR(10),""))+(LEN(B4:D4)&gt;0))-COUNTIF(B4:D4,"&lt;&gt;")</f>
        <v/>
      </c>
    </row>
    <row r="5" ht="202.5" customHeight="1">
      <c r="A5" s="2" t="inlineStr">
        <is>
          <t>Beginner 2</t>
        </is>
      </c>
      <c r="B5" s="3" t="inlineStr">
        <is>
          <t>[GBN2-01]
K. Sudhir (MKS00228)
Rooban (MKS00215)
Abhijay (MKS00202)
Avyukt A Praveen (MKS00174)
V. Srikaviyazhini (MKS00131)
M.Nalini Hirthika (MKS00118)
Dhanya sri S S (MKS00114)
Mithun Rajamani chakravarthi (MKS00112)
M. R. Darshan (MKS00101)
MELWIN G (MKS00100)
Nitharsana (MKS00095)
D KAVISH (MKS00079)
Harini (MKS00073)
S. YASWANNTH (MKS00039)
Ryan Stalin (MKS00007) [S]</t>
        </is>
      </c>
      <c r="C5" s="6" t="inlineStr">
        <is>
          <t xml:space="preserve">[LBN2-01]
N.sri dharshni (MKS00055)
</t>
        </is>
      </c>
      <c r="D5" s="3" t="inlineStr">
        <is>
          <t>[IBN2-01]
Vedh Pabba (MKS00190)</t>
        </is>
      </c>
      <c r="E5" s="4">
        <f>SUMPRODUCT(LEN(B5:D5)-LEN(SUBSTITUTE(B5:D5,CHAR(10),""))+(LEN(B5:D5)&gt;0))-COUNTIF(B5:D5,"&lt;&gt;")</f>
        <v/>
      </c>
    </row>
    <row r="6" ht="175.5" customHeight="1">
      <c r="A6" s="2" t="inlineStr">
        <is>
          <t>Early Intermediate 1</t>
        </is>
      </c>
      <c r="B6" s="3" t="inlineStr">
        <is>
          <t>[GEM1-01]
Keshav Krishna (YTC) [A]
S R Sabeshwar (MKS00223)
V.D. THARUN ADITHYA (MKS00212)
Rohith kumar.B (MKS00207)
V.Pranav (MKS00173) [A]
Pranith (MKS00143) [A]
D. Tharun (MKS00127)
B SARVESSH (MKS00108)
Yuviga (MKS00107)
Ayaan Haris (MKS00092)
Oviya B (MKS00038)
Kavinpriyan (MKS00023) [A]
M Nethran (MKS00020) [A]</t>
        </is>
      </c>
      <c r="C6" s="6" t="inlineStr">
        <is>
          <t>[LEM1-01]
Madesh (MKS00194)
B.AARAV NARAYAN (MKS00098)
Nithesh Nagarathinam (MKS00054) N.sri dharshni (MKS00055)</t>
        </is>
      </c>
      <c r="D6" s="3" t="inlineStr">
        <is>
          <t>[IEM1-01]
Kirthik (MKS00048)</t>
        </is>
      </c>
      <c r="E6" s="4">
        <f>SUMPRODUCT(LEN(B6:D6)-LEN(SUBSTITUTE(B6:D6,CHAR(10),""))+(LEN(B6:D6)&gt;0))-COUNTIF(B6:D6,"&lt;&gt;")</f>
        <v/>
      </c>
    </row>
    <row r="7" ht="108" customHeight="1">
      <c r="A7" s="2" t="inlineStr">
        <is>
          <t>Early Intermediate 2</t>
        </is>
      </c>
      <c r="B7" s="3" t="inlineStr">
        <is>
          <t>[GEM2-01]
Hithesh (MKS00206)
Praduksha (MKS00091)
Arishmithran (MKS00072)
Sanjumithra (MKS00070)
Mohhan (MKS00064)
Shakthivishakan A (MKS00034)
Hitesh prabu (MKS00014)
S.Raagavarshenee (MKS00009)</t>
        </is>
      </c>
      <c r="C7" s="3" t="inlineStr">
        <is>
          <t>[LEM2-01]
Thivya (MKS00056)
Reyhan nawaz (MKS00049)</t>
        </is>
      </c>
      <c r="D7" s="3" t="inlineStr">
        <is>
          <t>[IEM2-01]
Alagu Durai (MKS00141)
V.Dharmasastha Individual (MKS00093)</t>
        </is>
      </c>
      <c r="E7" s="4">
        <f>SUMPRODUCT(LEN(B7:D7)-LEN(SUBSTITUTE(B7:D7,CHAR(10),""))+(LEN(B7:D7)&gt;0))-COUNTIF(B7:D7,"&lt;&gt;")</f>
        <v/>
      </c>
    </row>
    <row r="8" ht="40.5" customHeight="1">
      <c r="A8" s="2" t="inlineStr">
        <is>
          <t>Intermediate 1</t>
        </is>
      </c>
      <c r="B8" s="3" t="inlineStr">
        <is>
          <t>[GIM1-01]
Samuel Rajan (MKS00182)
M.Nishik (MKS00113)
Vedhanth V (MKS00102)</t>
        </is>
      </c>
      <c r="C8" s="3" t="inlineStr">
        <is>
          <t>[LIM1-01]</t>
        </is>
      </c>
      <c r="D8" s="6" t="inlineStr">
        <is>
          <t>[IIM1-01]
Ineya Individual (MKS00050)</t>
        </is>
      </c>
      <c r="E8" s="4">
        <f>SUMPRODUCT(LEN(B8:D8)-LEN(SUBSTITUTE(B8:D8,CHAR(10),""))+(LEN(B8:D8)&gt;0))-COUNTIF(B8:D8,"&lt;&gt;")</f>
        <v/>
      </c>
    </row>
    <row r="9" ht="67.5" customHeight="1">
      <c r="A9" s="2" t="inlineStr">
        <is>
          <t>Intermediate 2</t>
        </is>
      </c>
      <c r="B9" s="3" t="inlineStr">
        <is>
          <t>[GIM2-01]
Selvakrishna RK (MKS00167)
YAASHVIN A/L SATEESHKUMAR (MKS00065)
Sarvin (MKS00060)
Srikavi Bharathi (MKS00045)
Krishiv Ajay (MKS00037)</t>
        </is>
      </c>
      <c r="C9" s="3" t="inlineStr">
        <is>
          <t>[LIM2-01]
Sachin (MKS00059)
Vivaan Aaditya (MKS00053)</t>
        </is>
      </c>
      <c r="D9" s="3" t="inlineStr">
        <is>
          <t>[IIM2-01]
Kamesh kumar c (MKS00231)</t>
        </is>
      </c>
      <c r="E9" s="4">
        <f>SUMPRODUCT(LEN(B9:D9)-LEN(SUBSTITUTE(B9:D9,CHAR(10),""))+(LEN(B9:D9)&gt;0))-COUNTIF(B9:D9,"&lt;&gt;")</f>
        <v/>
      </c>
    </row>
    <row r="10">
      <c r="A10" s="2" t="inlineStr">
        <is>
          <t>Batch Total</t>
        </is>
      </c>
      <c r="B10" s="2">
        <f>SUMPRODUCT(LEN(B2:B9)-LEN(SUBSTITUTE(B2:B9,CHAR(10),""))+(LEN(B2:B9)&gt;0))-COUNTIF(B2:B9,"&lt;&gt;")</f>
        <v/>
      </c>
      <c r="C10" s="2">
        <f>SUMPRODUCT(LEN(C2:C9)-LEN(SUBSTITUTE(C2:C9,CHAR(10),""))+(LEN(C2:C9)&gt;0))-COUNTIF(C2:C9,"&lt;&gt;")</f>
        <v/>
      </c>
      <c r="D10" s="2">
        <f>SUMPRODUCT(LEN(D2:D9)-LEN(SUBSTITUTE(D2:D9,CHAR(10),""))+(LEN(D2:D9)&gt;0))-COUNTIF(D2:D9,"&lt;&gt;")</f>
        <v/>
      </c>
      <c r="E10" s="1">
        <f>SUM(E2:E9)</f>
        <v/>
      </c>
    </row>
    <row r="12">
      <c r="A12" s="5" t="inlineStr">
        <is>
          <t>Note: [A]/[B]/[C]/[D]/[S] in brackets = suffix written after the level in the source (e.g. Beginner1B). Totals count students per batch/level.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2026-10-14T09:06:26Z</dcterms:created>
  <dcterms:modified xmlns:dcterms="http://purl.org/dc/terms/" xmlns:xsi="http://www.w3.org/2001/XMLSchema-instance" xsi:type="dcterms:W3CDTF">2026-10-14T10:43:14Z</dcterms:modified>
  <cp:lastModifiedBy>Prakash Guna</cp:lastModifiedBy>
  <cp:revision>0</cp:revision>
</cp:coreProperties>
</file>